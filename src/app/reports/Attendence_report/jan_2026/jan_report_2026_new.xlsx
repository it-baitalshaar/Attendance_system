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\OneDrive\Desktop\Attendance_system\src\app\reports\"/>
    </mc:Choice>
  </mc:AlternateContent>
  <xr:revisionPtr revIDLastSave="0" documentId="13_ncr:1_{494340C7-AAED-4F9D-A35A-B0049972541A}" xr6:coauthVersionLast="47" xr6:coauthVersionMax="47" xr10:uidLastSave="{00000000-0000-0000-0000-000000000000}"/>
  <bookViews>
    <workbookView xWindow="-108" yWindow="-108" windowWidth="23256" windowHeight="12456" activeTab="27" xr2:uid="{00000000-000D-0000-FFFF-FFFF00000000}"/>
  </bookViews>
  <sheets>
    <sheet name="Sheet1" sheetId="1" r:id="rId1"/>
    <sheet name="محمد عرفان مظفر حسين" sheetId="2" r:id="rId2"/>
    <sheet name="محمد جمعة" sheetId="3" r:id="rId3"/>
    <sheet name="وزير خان حبيب الله خان" sheetId="4" r:id="rId4"/>
    <sheet name="عبدالودود عجب خان" sheetId="5" r:id="rId5"/>
    <sheet name="برينس كومار بانديت بهارات" sheetId="6" r:id="rId6"/>
    <sheet name="راما كانت ياداف سانترا ج ياداف" sheetId="7" r:id="rId7"/>
    <sheet name="عدنان محمد يوسف" sheetId="8" r:id="rId8"/>
    <sheet name="محمد رضوان فاروق احمد اختر" sheetId="9" r:id="rId9"/>
    <sheet name="نظر جان محمد ظاهر" sheetId="10" r:id="rId10"/>
    <sheet name="ارشد على عزيز اور الرحمن" sheetId="11" r:id="rId11"/>
    <sheet name="تامانج جولشان" sheetId="12" r:id="rId12"/>
    <sheet name="محمد مصطفى يوسف  غانم" sheetId="13" r:id="rId13"/>
    <sheet name="عجب خان" sheetId="14" r:id="rId14"/>
    <sheet name="حفيظ الله" sheetId="15" r:id="rId15"/>
    <sheet name="شمس الرحمن" sheetId="16" r:id="rId16"/>
    <sheet name="رحمت الله" sheetId="17" r:id="rId17"/>
    <sheet name="محمد بلال احمد" sheetId="18" r:id="rId18"/>
    <sheet name="محمد ادريس عجب كل" sheetId="19" r:id="rId19"/>
    <sheet name=" محمد عويس شير اكبر" sheetId="20" r:id="rId20"/>
    <sheet name="نداء الله محمد ايوب خان" sheetId="21" r:id="rId21"/>
    <sheet name="بلال خان سعيد رحمن" sheetId="22" r:id="rId22"/>
    <sheet name="ميلكامو مولا بيليو" sheetId="23" r:id="rId23"/>
    <sheet name="امارى ميسقى وبيتو" sheetId="24" r:id="rId24"/>
    <sheet name="ابابو موجيس نيجيس" sheetId="25" r:id="rId25"/>
    <sheet name="باجر انجلال شارهان" sheetId="26" r:id="rId26"/>
    <sheet name=" كليم الله شيرال" sheetId="27" r:id="rId27"/>
    <sheet name="محمد شاهجان جازى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8" l="1"/>
  <c r="C40" i="28"/>
  <c r="H39" i="28"/>
  <c r="C39" i="28"/>
  <c r="F38" i="28"/>
  <c r="F42" i="28" s="1"/>
  <c r="E38" i="28"/>
  <c r="E42" i="28" s="1"/>
  <c r="D38" i="28"/>
  <c r="D42" i="28" s="1"/>
  <c r="C38" i="28"/>
  <c r="C42" i="28" s="1"/>
  <c r="I42" i="28" s="1"/>
  <c r="I37" i="28"/>
  <c r="I36" i="28"/>
  <c r="G35" i="28"/>
  <c r="I35" i="28" s="1"/>
  <c r="G34" i="28"/>
  <c r="I34" i="28" s="1"/>
  <c r="G33" i="28"/>
  <c r="I33" i="28" s="1"/>
  <c r="G32" i="28"/>
  <c r="I32" i="28" s="1"/>
  <c r="G31" i="28"/>
  <c r="I31" i="28" s="1"/>
  <c r="G30" i="28"/>
  <c r="I30" i="28" s="1"/>
  <c r="G29" i="28"/>
  <c r="I29" i="28" s="1"/>
  <c r="G28" i="28"/>
  <c r="I28" i="28" s="1"/>
  <c r="G27" i="28"/>
  <c r="I27" i="28" s="1"/>
  <c r="G26" i="28"/>
  <c r="I26" i="28" s="1"/>
  <c r="G25" i="28"/>
  <c r="I25" i="28" s="1"/>
  <c r="G24" i="28"/>
  <c r="I24" i="28" s="1"/>
  <c r="G23" i="28"/>
  <c r="I23" i="28" s="1"/>
  <c r="G22" i="28"/>
  <c r="G21" i="28"/>
  <c r="G20" i="28"/>
  <c r="I20" i="28" s="1"/>
  <c r="G19" i="28"/>
  <c r="I19" i="28" s="1"/>
  <c r="G18" i="28"/>
  <c r="I18" i="28" s="1"/>
  <c r="G17" i="28"/>
  <c r="I17" i="28" s="1"/>
  <c r="G16" i="28"/>
  <c r="I16" i="28" s="1"/>
  <c r="G15" i="28"/>
  <c r="I15" i="28" s="1"/>
  <c r="G14" i="28"/>
  <c r="I14" i="28" s="1"/>
  <c r="G13" i="28"/>
  <c r="I13" i="28" s="1"/>
  <c r="G12" i="28"/>
  <c r="I12" i="28" s="1"/>
  <c r="G11" i="28"/>
  <c r="I11" i="28" s="1"/>
  <c r="G10" i="28"/>
  <c r="I10" i="28" s="1"/>
  <c r="G9" i="28"/>
  <c r="I9" i="28" s="1"/>
  <c r="G8" i="28"/>
  <c r="I7" i="28"/>
  <c r="I3" i="28"/>
  <c r="B43" i="27"/>
  <c r="C40" i="27"/>
  <c r="H39" i="27"/>
  <c r="C39" i="27"/>
  <c r="F38" i="27"/>
  <c r="F42" i="27" s="1"/>
  <c r="E38" i="27"/>
  <c r="E42" i="27" s="1"/>
  <c r="D38" i="27"/>
  <c r="D42" i="27" s="1"/>
  <c r="C38" i="27"/>
  <c r="C42" i="27" s="1"/>
  <c r="I42" i="27" s="1"/>
  <c r="I37" i="27"/>
  <c r="I36" i="27"/>
  <c r="G35" i="27"/>
  <c r="I35" i="27" s="1"/>
  <c r="G34" i="27"/>
  <c r="I34" i="27" s="1"/>
  <c r="G33" i="27"/>
  <c r="I33" i="27" s="1"/>
  <c r="G32" i="27"/>
  <c r="I32" i="27" s="1"/>
  <c r="G31" i="27"/>
  <c r="I31" i="27" s="1"/>
  <c r="G30" i="27"/>
  <c r="I30" i="27" s="1"/>
  <c r="G29" i="27"/>
  <c r="I29" i="27" s="1"/>
  <c r="G28" i="27"/>
  <c r="I28" i="27" s="1"/>
  <c r="G27" i="27"/>
  <c r="I27" i="27" s="1"/>
  <c r="G26" i="27"/>
  <c r="I26" i="27" s="1"/>
  <c r="G25" i="27"/>
  <c r="I25" i="27" s="1"/>
  <c r="G24" i="27"/>
  <c r="I24" i="27" s="1"/>
  <c r="G23" i="27"/>
  <c r="I23" i="27" s="1"/>
  <c r="G22" i="27"/>
  <c r="G21" i="27"/>
  <c r="G20" i="27"/>
  <c r="I20" i="27" s="1"/>
  <c r="G19" i="27"/>
  <c r="I19" i="27" s="1"/>
  <c r="G18" i="27"/>
  <c r="I18" i="27" s="1"/>
  <c r="G17" i="27"/>
  <c r="I17" i="27" s="1"/>
  <c r="G16" i="27"/>
  <c r="I16" i="27" s="1"/>
  <c r="G15" i="27"/>
  <c r="I15" i="27" s="1"/>
  <c r="G14" i="27"/>
  <c r="I14" i="27" s="1"/>
  <c r="G13" i="27"/>
  <c r="I13" i="27" s="1"/>
  <c r="G12" i="27"/>
  <c r="I12" i="27" s="1"/>
  <c r="G11" i="27"/>
  <c r="I11" i="27" s="1"/>
  <c r="G10" i="27"/>
  <c r="I10" i="27" s="1"/>
  <c r="G9" i="27"/>
  <c r="I9" i="27" s="1"/>
  <c r="G8" i="27"/>
  <c r="I7" i="27"/>
  <c r="I3" i="27"/>
  <c r="B43" i="26"/>
  <c r="C40" i="26"/>
  <c r="H39" i="26"/>
  <c r="C39" i="26"/>
  <c r="F38" i="26"/>
  <c r="F42" i="26" s="1"/>
  <c r="E38" i="26"/>
  <c r="E42" i="26" s="1"/>
  <c r="D38" i="26"/>
  <c r="D42" i="26" s="1"/>
  <c r="C38" i="26"/>
  <c r="C42" i="26" s="1"/>
  <c r="I42" i="26" s="1"/>
  <c r="I37" i="26"/>
  <c r="I36" i="26"/>
  <c r="G35" i="26"/>
  <c r="I35" i="26" s="1"/>
  <c r="G34" i="26"/>
  <c r="I34" i="26" s="1"/>
  <c r="G33" i="26"/>
  <c r="I33" i="26" s="1"/>
  <c r="G32" i="26"/>
  <c r="I32" i="26" s="1"/>
  <c r="G31" i="26"/>
  <c r="I31" i="26" s="1"/>
  <c r="G30" i="26"/>
  <c r="I30" i="26" s="1"/>
  <c r="G29" i="26"/>
  <c r="I29" i="26" s="1"/>
  <c r="G28" i="26"/>
  <c r="I28" i="26" s="1"/>
  <c r="G27" i="26"/>
  <c r="I27" i="26" s="1"/>
  <c r="G26" i="26"/>
  <c r="I26" i="26" s="1"/>
  <c r="G25" i="26"/>
  <c r="I25" i="26" s="1"/>
  <c r="G24" i="26"/>
  <c r="I24" i="26" s="1"/>
  <c r="G23" i="26"/>
  <c r="I23" i="26" s="1"/>
  <c r="G22" i="26"/>
  <c r="G21" i="26"/>
  <c r="G20" i="26"/>
  <c r="I20" i="26" s="1"/>
  <c r="G19" i="26"/>
  <c r="I19" i="26" s="1"/>
  <c r="G18" i="26"/>
  <c r="I18" i="26" s="1"/>
  <c r="G17" i="26"/>
  <c r="I17" i="26" s="1"/>
  <c r="G16" i="26"/>
  <c r="I16" i="26" s="1"/>
  <c r="G15" i="26"/>
  <c r="I15" i="26" s="1"/>
  <c r="G14" i="26"/>
  <c r="I14" i="26" s="1"/>
  <c r="G13" i="26"/>
  <c r="I13" i="26" s="1"/>
  <c r="G12" i="26"/>
  <c r="I12" i="26" s="1"/>
  <c r="G11" i="26"/>
  <c r="I11" i="26" s="1"/>
  <c r="G10" i="26"/>
  <c r="I10" i="26" s="1"/>
  <c r="G9" i="26"/>
  <c r="I9" i="26" s="1"/>
  <c r="G8" i="26"/>
  <c r="I7" i="26"/>
  <c r="I3" i="26"/>
  <c r="B43" i="25"/>
  <c r="C41" i="25"/>
  <c r="H41" i="25" s="1"/>
  <c r="C40" i="25"/>
  <c r="H39" i="25"/>
  <c r="C39" i="25"/>
  <c r="F38" i="25"/>
  <c r="F42" i="25" s="1"/>
  <c r="E38" i="25"/>
  <c r="E42" i="25" s="1"/>
  <c r="D38" i="25"/>
  <c r="D42" i="25" s="1"/>
  <c r="C38" i="25"/>
  <c r="C42" i="25" s="1"/>
  <c r="I42" i="25" s="1"/>
  <c r="I37" i="25"/>
  <c r="I36" i="25"/>
  <c r="G35" i="25"/>
  <c r="I35" i="25" s="1"/>
  <c r="G34" i="25"/>
  <c r="I34" i="25" s="1"/>
  <c r="G33" i="25"/>
  <c r="I33" i="25" s="1"/>
  <c r="G32" i="25"/>
  <c r="I32" i="25" s="1"/>
  <c r="G31" i="25"/>
  <c r="I31" i="25" s="1"/>
  <c r="G30" i="25"/>
  <c r="I30" i="25" s="1"/>
  <c r="G29" i="25"/>
  <c r="I29" i="25" s="1"/>
  <c r="G28" i="25"/>
  <c r="I28" i="25" s="1"/>
  <c r="G27" i="25"/>
  <c r="I27" i="25" s="1"/>
  <c r="G26" i="25"/>
  <c r="G25" i="25"/>
  <c r="I25" i="25" s="1"/>
  <c r="G24" i="25"/>
  <c r="I24" i="25" s="1"/>
  <c r="G23" i="25"/>
  <c r="I23" i="25" s="1"/>
  <c r="G22" i="25"/>
  <c r="G21" i="25"/>
  <c r="G20" i="25"/>
  <c r="I20" i="25" s="1"/>
  <c r="G19" i="25"/>
  <c r="I19" i="25" s="1"/>
  <c r="G18" i="25"/>
  <c r="I18" i="25" s="1"/>
  <c r="G17" i="25"/>
  <c r="I17" i="25" s="1"/>
  <c r="G16" i="25"/>
  <c r="I16" i="25" s="1"/>
  <c r="G15" i="25"/>
  <c r="I15" i="25" s="1"/>
  <c r="G14" i="25"/>
  <c r="I14" i="25" s="1"/>
  <c r="G13" i="25"/>
  <c r="I13" i="25" s="1"/>
  <c r="G12" i="25"/>
  <c r="I12" i="25" s="1"/>
  <c r="G11" i="25"/>
  <c r="I11" i="25" s="1"/>
  <c r="G10" i="25"/>
  <c r="I10" i="25" s="1"/>
  <c r="G9" i="25"/>
  <c r="I9" i="25" s="1"/>
  <c r="G8" i="25"/>
  <c r="I8" i="25" s="1"/>
  <c r="I7" i="25"/>
  <c r="I3" i="25"/>
  <c r="I4" i="25" s="1"/>
  <c r="B43" i="24"/>
  <c r="C40" i="24"/>
  <c r="H39" i="24"/>
  <c r="C39" i="24"/>
  <c r="F38" i="24"/>
  <c r="F42" i="24" s="1"/>
  <c r="E38" i="24"/>
  <c r="E42" i="24" s="1"/>
  <c r="D38" i="24"/>
  <c r="D42" i="24" s="1"/>
  <c r="C38" i="24"/>
  <c r="C42" i="24" s="1"/>
  <c r="I42" i="24" s="1"/>
  <c r="I37" i="24"/>
  <c r="I36" i="24"/>
  <c r="G35" i="24"/>
  <c r="I35" i="24" s="1"/>
  <c r="G34" i="24"/>
  <c r="I34" i="24" s="1"/>
  <c r="G33" i="24"/>
  <c r="I33" i="24" s="1"/>
  <c r="G32" i="24"/>
  <c r="I32" i="24" s="1"/>
  <c r="G31" i="24"/>
  <c r="I31" i="24" s="1"/>
  <c r="G30" i="24"/>
  <c r="I30" i="24" s="1"/>
  <c r="G29" i="24"/>
  <c r="I29" i="24" s="1"/>
  <c r="G28" i="24"/>
  <c r="I28" i="24" s="1"/>
  <c r="G27" i="24"/>
  <c r="I27" i="24" s="1"/>
  <c r="G26" i="24"/>
  <c r="I26" i="24" s="1"/>
  <c r="G25" i="24"/>
  <c r="I25" i="24" s="1"/>
  <c r="G24" i="24"/>
  <c r="I24" i="24" s="1"/>
  <c r="G23" i="24"/>
  <c r="I23" i="24" s="1"/>
  <c r="G22" i="24"/>
  <c r="G21" i="24"/>
  <c r="G20" i="24"/>
  <c r="I20" i="24" s="1"/>
  <c r="G19" i="24"/>
  <c r="I19" i="24" s="1"/>
  <c r="G18" i="24"/>
  <c r="I18" i="24" s="1"/>
  <c r="G17" i="24"/>
  <c r="I17" i="24" s="1"/>
  <c r="G16" i="24"/>
  <c r="I16" i="24" s="1"/>
  <c r="G15" i="24"/>
  <c r="I15" i="24" s="1"/>
  <c r="G14" i="24"/>
  <c r="I14" i="24" s="1"/>
  <c r="G13" i="24"/>
  <c r="I13" i="24" s="1"/>
  <c r="G12" i="24"/>
  <c r="I12" i="24" s="1"/>
  <c r="G11" i="24"/>
  <c r="I11" i="24" s="1"/>
  <c r="G10" i="24"/>
  <c r="I10" i="24" s="1"/>
  <c r="G9" i="24"/>
  <c r="I9" i="24" s="1"/>
  <c r="G8" i="24"/>
  <c r="I7" i="24"/>
  <c r="I3" i="24"/>
  <c r="B43" i="23"/>
  <c r="C40" i="23"/>
  <c r="H39" i="23"/>
  <c r="C39" i="23"/>
  <c r="F38" i="23"/>
  <c r="F42" i="23" s="1"/>
  <c r="E38" i="23"/>
  <c r="E42" i="23" s="1"/>
  <c r="D38" i="23"/>
  <c r="D42" i="23" s="1"/>
  <c r="C38" i="23"/>
  <c r="C42" i="23" s="1"/>
  <c r="I42" i="23" s="1"/>
  <c r="I37" i="23"/>
  <c r="I36" i="23"/>
  <c r="G35" i="23"/>
  <c r="I35" i="23" s="1"/>
  <c r="G34" i="23"/>
  <c r="I34" i="23" s="1"/>
  <c r="G33" i="23"/>
  <c r="I33" i="23" s="1"/>
  <c r="G32" i="23"/>
  <c r="I32" i="23" s="1"/>
  <c r="G31" i="23"/>
  <c r="I31" i="23" s="1"/>
  <c r="G30" i="23"/>
  <c r="I30" i="23" s="1"/>
  <c r="G29" i="23"/>
  <c r="I29" i="23" s="1"/>
  <c r="G28" i="23"/>
  <c r="I28" i="23" s="1"/>
  <c r="G27" i="23"/>
  <c r="I27" i="23" s="1"/>
  <c r="G26" i="23"/>
  <c r="I26" i="23" s="1"/>
  <c r="G25" i="23"/>
  <c r="I25" i="23" s="1"/>
  <c r="G24" i="23"/>
  <c r="I24" i="23" s="1"/>
  <c r="G23" i="23"/>
  <c r="I23" i="23" s="1"/>
  <c r="G22" i="23"/>
  <c r="G21" i="23"/>
  <c r="G20" i="23"/>
  <c r="I20" i="23" s="1"/>
  <c r="G19" i="23"/>
  <c r="I19" i="23" s="1"/>
  <c r="G18" i="23"/>
  <c r="I18" i="23" s="1"/>
  <c r="G17" i="23"/>
  <c r="I17" i="23" s="1"/>
  <c r="G16" i="23"/>
  <c r="I16" i="23" s="1"/>
  <c r="G15" i="23"/>
  <c r="I15" i="23" s="1"/>
  <c r="G14" i="23"/>
  <c r="I14" i="23" s="1"/>
  <c r="G13" i="23"/>
  <c r="I13" i="23" s="1"/>
  <c r="G12" i="23"/>
  <c r="I12" i="23" s="1"/>
  <c r="G11" i="23"/>
  <c r="I11" i="23" s="1"/>
  <c r="G10" i="23"/>
  <c r="I10" i="23" s="1"/>
  <c r="G9" i="23"/>
  <c r="I9" i="23" s="1"/>
  <c r="G8" i="23"/>
  <c r="I7" i="23"/>
  <c r="I3" i="23"/>
  <c r="B43" i="22"/>
  <c r="C40" i="22"/>
  <c r="C39" i="22" s="1"/>
  <c r="H39" i="22"/>
  <c r="F38" i="22"/>
  <c r="F42" i="22" s="1"/>
  <c r="E38" i="22"/>
  <c r="E42" i="22" s="1"/>
  <c r="D38" i="22"/>
  <c r="D42" i="22" s="1"/>
  <c r="C38" i="22"/>
  <c r="C42" i="22" s="1"/>
  <c r="I42" i="22" s="1"/>
  <c r="I37" i="22"/>
  <c r="I36" i="22"/>
  <c r="G35" i="22"/>
  <c r="I35" i="22" s="1"/>
  <c r="G34" i="22"/>
  <c r="I34" i="22" s="1"/>
  <c r="G33" i="22"/>
  <c r="I33" i="22" s="1"/>
  <c r="G32" i="22"/>
  <c r="I32" i="22" s="1"/>
  <c r="G31" i="22"/>
  <c r="I31" i="22" s="1"/>
  <c r="G30" i="22"/>
  <c r="I30" i="22" s="1"/>
  <c r="G29" i="22"/>
  <c r="I29" i="22" s="1"/>
  <c r="G28" i="22"/>
  <c r="I28" i="22" s="1"/>
  <c r="G27" i="22"/>
  <c r="I27" i="22" s="1"/>
  <c r="G26" i="22"/>
  <c r="I26" i="22" s="1"/>
  <c r="G25" i="22"/>
  <c r="I25" i="22" s="1"/>
  <c r="G24" i="22"/>
  <c r="I24" i="22" s="1"/>
  <c r="G23" i="22"/>
  <c r="I23" i="22" s="1"/>
  <c r="I22" i="22"/>
  <c r="G22" i="22"/>
  <c r="G21" i="22"/>
  <c r="I21" i="22" s="1"/>
  <c r="G20" i="22"/>
  <c r="I20" i="22" s="1"/>
  <c r="G19" i="22"/>
  <c r="I19" i="22" s="1"/>
  <c r="G18" i="22"/>
  <c r="I18" i="22" s="1"/>
  <c r="G17" i="22"/>
  <c r="I17" i="22" s="1"/>
  <c r="G16" i="22"/>
  <c r="I16" i="22" s="1"/>
  <c r="G15" i="22"/>
  <c r="I15" i="22" s="1"/>
  <c r="G14" i="22"/>
  <c r="I14" i="22" s="1"/>
  <c r="I13" i="22"/>
  <c r="G13" i="22"/>
  <c r="G12" i="22"/>
  <c r="I12" i="22" s="1"/>
  <c r="G11" i="22"/>
  <c r="I11" i="22" s="1"/>
  <c r="G10" i="22"/>
  <c r="I10" i="22" s="1"/>
  <c r="G9" i="22"/>
  <c r="I9" i="22" s="1"/>
  <c r="G8" i="22"/>
  <c r="I7" i="22"/>
  <c r="I3" i="22"/>
  <c r="B43" i="21"/>
  <c r="C40" i="21"/>
  <c r="H39" i="21"/>
  <c r="C39" i="21"/>
  <c r="F38" i="21"/>
  <c r="F42" i="21" s="1"/>
  <c r="E38" i="21"/>
  <c r="E42" i="21" s="1"/>
  <c r="D38" i="21"/>
  <c r="D42" i="21" s="1"/>
  <c r="C38" i="21"/>
  <c r="C42" i="21" s="1"/>
  <c r="I42" i="21" s="1"/>
  <c r="I37" i="21"/>
  <c r="I36" i="21"/>
  <c r="G35" i="21"/>
  <c r="I35" i="21" s="1"/>
  <c r="G34" i="21"/>
  <c r="I34" i="21" s="1"/>
  <c r="G33" i="21"/>
  <c r="I33" i="21" s="1"/>
  <c r="G32" i="21"/>
  <c r="I32" i="21" s="1"/>
  <c r="G31" i="21"/>
  <c r="I31" i="21" s="1"/>
  <c r="G30" i="21"/>
  <c r="I30" i="21" s="1"/>
  <c r="G29" i="21"/>
  <c r="I29" i="21" s="1"/>
  <c r="G28" i="21"/>
  <c r="I28" i="21" s="1"/>
  <c r="G27" i="21"/>
  <c r="I27" i="21" s="1"/>
  <c r="G26" i="21"/>
  <c r="I26" i="21" s="1"/>
  <c r="G25" i="21"/>
  <c r="I25" i="21" s="1"/>
  <c r="G24" i="21"/>
  <c r="I24" i="21" s="1"/>
  <c r="G23" i="21"/>
  <c r="I23" i="21" s="1"/>
  <c r="G22" i="21"/>
  <c r="G21" i="21"/>
  <c r="G20" i="21"/>
  <c r="I20" i="21" s="1"/>
  <c r="G19" i="21"/>
  <c r="I19" i="21" s="1"/>
  <c r="G18" i="21"/>
  <c r="I18" i="21" s="1"/>
  <c r="G17" i="21"/>
  <c r="I17" i="21" s="1"/>
  <c r="G16" i="21"/>
  <c r="I16" i="21" s="1"/>
  <c r="G15" i="21"/>
  <c r="I15" i="21" s="1"/>
  <c r="G14" i="21"/>
  <c r="I14" i="21" s="1"/>
  <c r="G13" i="21"/>
  <c r="I13" i="21" s="1"/>
  <c r="G12" i="21"/>
  <c r="I12" i="21" s="1"/>
  <c r="G11" i="21"/>
  <c r="I11" i="21" s="1"/>
  <c r="G10" i="21"/>
  <c r="I10" i="21" s="1"/>
  <c r="G9" i="21"/>
  <c r="I9" i="21" s="1"/>
  <c r="G8" i="21"/>
  <c r="I7" i="21"/>
  <c r="I3" i="21"/>
  <c r="B43" i="20"/>
  <c r="C40" i="20"/>
  <c r="H39" i="20"/>
  <c r="C39" i="20"/>
  <c r="F38" i="20"/>
  <c r="F42" i="20" s="1"/>
  <c r="E38" i="20"/>
  <c r="E42" i="20" s="1"/>
  <c r="D38" i="20"/>
  <c r="D42" i="20" s="1"/>
  <c r="C38" i="20"/>
  <c r="C42" i="20" s="1"/>
  <c r="I42" i="20" s="1"/>
  <c r="I37" i="20"/>
  <c r="I36" i="20"/>
  <c r="G35" i="20"/>
  <c r="I35" i="20" s="1"/>
  <c r="G34" i="20"/>
  <c r="I34" i="20" s="1"/>
  <c r="G33" i="20"/>
  <c r="I33" i="20" s="1"/>
  <c r="G32" i="20"/>
  <c r="I32" i="20" s="1"/>
  <c r="G31" i="20"/>
  <c r="I31" i="20" s="1"/>
  <c r="G30" i="20"/>
  <c r="I30" i="20" s="1"/>
  <c r="G29" i="20"/>
  <c r="I29" i="20" s="1"/>
  <c r="G28" i="20"/>
  <c r="I28" i="20" s="1"/>
  <c r="G27" i="20"/>
  <c r="I27" i="20" s="1"/>
  <c r="G26" i="20"/>
  <c r="I26" i="20" s="1"/>
  <c r="G25" i="20"/>
  <c r="I25" i="20" s="1"/>
  <c r="G24" i="20"/>
  <c r="I24" i="20" s="1"/>
  <c r="G23" i="20"/>
  <c r="I23" i="20" s="1"/>
  <c r="G22" i="20"/>
  <c r="G21" i="20"/>
  <c r="G20" i="20"/>
  <c r="I20" i="20" s="1"/>
  <c r="G19" i="20"/>
  <c r="I19" i="20" s="1"/>
  <c r="G18" i="20"/>
  <c r="I18" i="20" s="1"/>
  <c r="G17" i="20"/>
  <c r="I17" i="20" s="1"/>
  <c r="G16" i="20"/>
  <c r="I16" i="20" s="1"/>
  <c r="G15" i="20"/>
  <c r="I15" i="20" s="1"/>
  <c r="G14" i="20"/>
  <c r="I14" i="20" s="1"/>
  <c r="G13" i="20"/>
  <c r="I13" i="20" s="1"/>
  <c r="G12" i="20"/>
  <c r="I12" i="20" s="1"/>
  <c r="G11" i="20"/>
  <c r="I11" i="20" s="1"/>
  <c r="G10" i="20"/>
  <c r="I10" i="20" s="1"/>
  <c r="G9" i="20"/>
  <c r="I9" i="20" s="1"/>
  <c r="G8" i="20"/>
  <c r="I7" i="20"/>
  <c r="I3" i="20"/>
  <c r="B43" i="19"/>
  <c r="C40" i="19"/>
  <c r="H39" i="19"/>
  <c r="C39" i="19"/>
  <c r="F38" i="19"/>
  <c r="F42" i="19" s="1"/>
  <c r="E38" i="19"/>
  <c r="E42" i="19" s="1"/>
  <c r="D38" i="19"/>
  <c r="D42" i="19" s="1"/>
  <c r="C38" i="19"/>
  <c r="C42" i="19" s="1"/>
  <c r="I42" i="19" s="1"/>
  <c r="I37" i="19"/>
  <c r="I36" i="19"/>
  <c r="G35" i="19"/>
  <c r="I35" i="19" s="1"/>
  <c r="G34" i="19"/>
  <c r="I34" i="19" s="1"/>
  <c r="G33" i="19"/>
  <c r="I33" i="19" s="1"/>
  <c r="G32" i="19"/>
  <c r="I32" i="19" s="1"/>
  <c r="G31" i="19"/>
  <c r="I31" i="19" s="1"/>
  <c r="G30" i="19"/>
  <c r="I30" i="19" s="1"/>
  <c r="G29" i="19"/>
  <c r="I29" i="19" s="1"/>
  <c r="G28" i="19"/>
  <c r="I28" i="19" s="1"/>
  <c r="G27" i="19"/>
  <c r="I27" i="19" s="1"/>
  <c r="G26" i="19"/>
  <c r="I26" i="19" s="1"/>
  <c r="G25" i="19"/>
  <c r="I25" i="19" s="1"/>
  <c r="G24" i="19"/>
  <c r="I24" i="19" s="1"/>
  <c r="G23" i="19"/>
  <c r="I23" i="19" s="1"/>
  <c r="G22" i="19"/>
  <c r="G21" i="19"/>
  <c r="G20" i="19"/>
  <c r="I20" i="19" s="1"/>
  <c r="G19" i="19"/>
  <c r="I19" i="19" s="1"/>
  <c r="G18" i="19"/>
  <c r="I18" i="19" s="1"/>
  <c r="G17" i="19"/>
  <c r="I17" i="19" s="1"/>
  <c r="G16" i="19"/>
  <c r="I16" i="19" s="1"/>
  <c r="G15" i="19"/>
  <c r="I15" i="19" s="1"/>
  <c r="G14" i="19"/>
  <c r="I14" i="19" s="1"/>
  <c r="G13" i="19"/>
  <c r="I13" i="19" s="1"/>
  <c r="G12" i="19"/>
  <c r="I12" i="19" s="1"/>
  <c r="G11" i="19"/>
  <c r="I11" i="19" s="1"/>
  <c r="G10" i="19"/>
  <c r="I10" i="19" s="1"/>
  <c r="G9" i="19"/>
  <c r="I9" i="19" s="1"/>
  <c r="G8" i="19"/>
  <c r="I7" i="19"/>
  <c r="I3" i="19"/>
  <c r="B43" i="18"/>
  <c r="C41" i="18"/>
  <c r="H41" i="18" s="1"/>
  <c r="C40" i="18"/>
  <c r="H39" i="18"/>
  <c r="C39" i="18"/>
  <c r="F38" i="18"/>
  <c r="F42" i="18" s="1"/>
  <c r="E38" i="18"/>
  <c r="E42" i="18" s="1"/>
  <c r="D38" i="18"/>
  <c r="D42" i="18" s="1"/>
  <c r="C38" i="18"/>
  <c r="C42" i="18" s="1"/>
  <c r="I42" i="18" s="1"/>
  <c r="I37" i="18"/>
  <c r="I36" i="18"/>
  <c r="G35" i="18"/>
  <c r="I35" i="18" s="1"/>
  <c r="G34" i="18"/>
  <c r="I34" i="18" s="1"/>
  <c r="G33" i="18"/>
  <c r="I33" i="18" s="1"/>
  <c r="G32" i="18"/>
  <c r="I32" i="18" s="1"/>
  <c r="G31" i="18"/>
  <c r="I31" i="18" s="1"/>
  <c r="G30" i="18"/>
  <c r="I30" i="18" s="1"/>
  <c r="G29" i="18"/>
  <c r="I29" i="18" s="1"/>
  <c r="G28" i="18"/>
  <c r="I28" i="18" s="1"/>
  <c r="G27" i="18"/>
  <c r="I27" i="18" s="1"/>
  <c r="G26" i="18"/>
  <c r="G25" i="18"/>
  <c r="I25" i="18" s="1"/>
  <c r="G24" i="18"/>
  <c r="I24" i="18" s="1"/>
  <c r="G23" i="18"/>
  <c r="I23" i="18" s="1"/>
  <c r="G22" i="18"/>
  <c r="G21" i="18"/>
  <c r="G20" i="18"/>
  <c r="I20" i="18" s="1"/>
  <c r="G19" i="18"/>
  <c r="I19" i="18" s="1"/>
  <c r="G18" i="18"/>
  <c r="I18" i="18" s="1"/>
  <c r="G17" i="18"/>
  <c r="I17" i="18" s="1"/>
  <c r="G16" i="18"/>
  <c r="I16" i="18" s="1"/>
  <c r="G15" i="18"/>
  <c r="I15" i="18" s="1"/>
  <c r="G14" i="18"/>
  <c r="I14" i="18" s="1"/>
  <c r="G13" i="18"/>
  <c r="I13" i="18" s="1"/>
  <c r="G12" i="18"/>
  <c r="I12" i="18" s="1"/>
  <c r="G11" i="18"/>
  <c r="I11" i="18" s="1"/>
  <c r="G10" i="18"/>
  <c r="I10" i="18" s="1"/>
  <c r="G9" i="18"/>
  <c r="I9" i="18" s="1"/>
  <c r="G8" i="18"/>
  <c r="I8" i="18" s="1"/>
  <c r="I7" i="18"/>
  <c r="I3" i="18"/>
  <c r="I4" i="18" s="1"/>
  <c r="B43" i="17"/>
  <c r="C40" i="17"/>
  <c r="H39" i="17"/>
  <c r="C39" i="17"/>
  <c r="F38" i="17"/>
  <c r="F42" i="17" s="1"/>
  <c r="E38" i="17"/>
  <c r="E42" i="17" s="1"/>
  <c r="D38" i="17"/>
  <c r="D42" i="17" s="1"/>
  <c r="C38" i="17"/>
  <c r="C42" i="17" s="1"/>
  <c r="I42" i="17" s="1"/>
  <c r="I37" i="17"/>
  <c r="I36" i="17"/>
  <c r="G35" i="17"/>
  <c r="I35" i="17" s="1"/>
  <c r="G34" i="17"/>
  <c r="I34" i="17" s="1"/>
  <c r="G33" i="17"/>
  <c r="I33" i="17" s="1"/>
  <c r="G32" i="17"/>
  <c r="I32" i="17" s="1"/>
  <c r="G31" i="17"/>
  <c r="I31" i="17" s="1"/>
  <c r="G30" i="17"/>
  <c r="I30" i="17" s="1"/>
  <c r="G29" i="17"/>
  <c r="I29" i="17" s="1"/>
  <c r="G28" i="17"/>
  <c r="I28" i="17" s="1"/>
  <c r="G27" i="17"/>
  <c r="I27" i="17" s="1"/>
  <c r="G26" i="17"/>
  <c r="I26" i="17" s="1"/>
  <c r="G25" i="17"/>
  <c r="I25" i="17" s="1"/>
  <c r="G24" i="17"/>
  <c r="I24" i="17" s="1"/>
  <c r="G23" i="17"/>
  <c r="I23" i="17" s="1"/>
  <c r="G22" i="17"/>
  <c r="G21" i="17"/>
  <c r="G20" i="17"/>
  <c r="I20" i="17" s="1"/>
  <c r="G19" i="17"/>
  <c r="I19" i="17" s="1"/>
  <c r="G18" i="17"/>
  <c r="I18" i="17" s="1"/>
  <c r="G17" i="17"/>
  <c r="I17" i="17" s="1"/>
  <c r="G16" i="17"/>
  <c r="I16" i="17" s="1"/>
  <c r="G15" i="17"/>
  <c r="I15" i="17" s="1"/>
  <c r="G14" i="17"/>
  <c r="I14" i="17" s="1"/>
  <c r="G13" i="17"/>
  <c r="I13" i="17" s="1"/>
  <c r="G12" i="17"/>
  <c r="I12" i="17" s="1"/>
  <c r="G11" i="17"/>
  <c r="I11" i="17" s="1"/>
  <c r="G10" i="17"/>
  <c r="I10" i="17" s="1"/>
  <c r="G9" i="17"/>
  <c r="I9" i="17" s="1"/>
  <c r="G8" i="17"/>
  <c r="I7" i="17"/>
  <c r="I3" i="17"/>
  <c r="B43" i="16"/>
  <c r="C40" i="16"/>
  <c r="H39" i="16"/>
  <c r="C39" i="16"/>
  <c r="F38" i="16"/>
  <c r="F42" i="16" s="1"/>
  <c r="E38" i="16"/>
  <c r="E42" i="16" s="1"/>
  <c r="D38" i="16"/>
  <c r="D42" i="16" s="1"/>
  <c r="C38" i="16"/>
  <c r="C42" i="16" s="1"/>
  <c r="I42" i="16" s="1"/>
  <c r="I37" i="16"/>
  <c r="I36" i="16"/>
  <c r="G35" i="16"/>
  <c r="I35" i="16" s="1"/>
  <c r="G34" i="16"/>
  <c r="I34" i="16" s="1"/>
  <c r="G33" i="16"/>
  <c r="I33" i="16" s="1"/>
  <c r="G32" i="16"/>
  <c r="I32" i="16" s="1"/>
  <c r="G31" i="16"/>
  <c r="I31" i="16" s="1"/>
  <c r="G30" i="16"/>
  <c r="I30" i="16" s="1"/>
  <c r="G29" i="16"/>
  <c r="I29" i="16" s="1"/>
  <c r="G28" i="16"/>
  <c r="I28" i="16" s="1"/>
  <c r="G27" i="16"/>
  <c r="I27" i="16" s="1"/>
  <c r="G26" i="16"/>
  <c r="I26" i="16" s="1"/>
  <c r="G25" i="16"/>
  <c r="I25" i="16" s="1"/>
  <c r="G24" i="16"/>
  <c r="I24" i="16" s="1"/>
  <c r="G23" i="16"/>
  <c r="I23" i="16" s="1"/>
  <c r="G22" i="16"/>
  <c r="G21" i="16"/>
  <c r="G20" i="16"/>
  <c r="I20" i="16" s="1"/>
  <c r="G19" i="16"/>
  <c r="I19" i="16" s="1"/>
  <c r="G18" i="16"/>
  <c r="I18" i="16" s="1"/>
  <c r="G17" i="16"/>
  <c r="I17" i="16" s="1"/>
  <c r="G16" i="16"/>
  <c r="I16" i="16" s="1"/>
  <c r="G15" i="16"/>
  <c r="I15" i="16" s="1"/>
  <c r="G14" i="16"/>
  <c r="I14" i="16" s="1"/>
  <c r="G13" i="16"/>
  <c r="I13" i="16" s="1"/>
  <c r="G12" i="16"/>
  <c r="I12" i="16" s="1"/>
  <c r="G11" i="16"/>
  <c r="I11" i="16" s="1"/>
  <c r="G10" i="16"/>
  <c r="I10" i="16" s="1"/>
  <c r="G9" i="16"/>
  <c r="I9" i="16" s="1"/>
  <c r="G8" i="16"/>
  <c r="I7" i="16"/>
  <c r="I3" i="16"/>
  <c r="B43" i="15"/>
  <c r="C40" i="15"/>
  <c r="H39" i="15"/>
  <c r="C39" i="15"/>
  <c r="F38" i="15"/>
  <c r="F42" i="15" s="1"/>
  <c r="E38" i="15"/>
  <c r="E42" i="15" s="1"/>
  <c r="D38" i="15"/>
  <c r="D42" i="15" s="1"/>
  <c r="C38" i="15"/>
  <c r="C42" i="15" s="1"/>
  <c r="I42" i="15" s="1"/>
  <c r="I37" i="15"/>
  <c r="I36" i="15"/>
  <c r="G35" i="15"/>
  <c r="I35" i="15" s="1"/>
  <c r="G34" i="15"/>
  <c r="I34" i="15" s="1"/>
  <c r="G33" i="15"/>
  <c r="I33" i="15" s="1"/>
  <c r="G32" i="15"/>
  <c r="I32" i="15" s="1"/>
  <c r="G31" i="15"/>
  <c r="I31" i="15" s="1"/>
  <c r="G30" i="15"/>
  <c r="I30" i="15" s="1"/>
  <c r="G29" i="15"/>
  <c r="I29" i="15" s="1"/>
  <c r="G28" i="15"/>
  <c r="I28" i="15" s="1"/>
  <c r="G27" i="15"/>
  <c r="I27" i="15" s="1"/>
  <c r="G26" i="15"/>
  <c r="I26" i="15" s="1"/>
  <c r="G25" i="15"/>
  <c r="I25" i="15" s="1"/>
  <c r="G24" i="15"/>
  <c r="I24" i="15" s="1"/>
  <c r="G23" i="15"/>
  <c r="I23" i="15" s="1"/>
  <c r="G22" i="15"/>
  <c r="G21" i="15"/>
  <c r="G20" i="15"/>
  <c r="I20" i="15" s="1"/>
  <c r="G19" i="15"/>
  <c r="I19" i="15" s="1"/>
  <c r="G18" i="15"/>
  <c r="I18" i="15" s="1"/>
  <c r="G17" i="15"/>
  <c r="I17" i="15" s="1"/>
  <c r="G16" i="15"/>
  <c r="I16" i="15" s="1"/>
  <c r="G15" i="15"/>
  <c r="I15" i="15" s="1"/>
  <c r="G14" i="15"/>
  <c r="I14" i="15" s="1"/>
  <c r="G13" i="15"/>
  <c r="I13" i="15" s="1"/>
  <c r="G12" i="15"/>
  <c r="I12" i="15" s="1"/>
  <c r="G11" i="15"/>
  <c r="I11" i="15" s="1"/>
  <c r="G10" i="15"/>
  <c r="I10" i="15" s="1"/>
  <c r="G9" i="15"/>
  <c r="I9" i="15" s="1"/>
  <c r="G8" i="15"/>
  <c r="I7" i="15"/>
  <c r="I3" i="15"/>
  <c r="B43" i="14"/>
  <c r="C40" i="14"/>
  <c r="H39" i="14"/>
  <c r="C39" i="14"/>
  <c r="F38" i="14"/>
  <c r="F42" i="14" s="1"/>
  <c r="E38" i="14"/>
  <c r="E42" i="14" s="1"/>
  <c r="D38" i="14"/>
  <c r="D42" i="14" s="1"/>
  <c r="C38" i="14"/>
  <c r="C42" i="14" s="1"/>
  <c r="I42" i="14" s="1"/>
  <c r="I37" i="14"/>
  <c r="I36" i="14"/>
  <c r="G35" i="14"/>
  <c r="I35" i="14" s="1"/>
  <c r="G34" i="14"/>
  <c r="I34" i="14" s="1"/>
  <c r="G33" i="14"/>
  <c r="I33" i="14" s="1"/>
  <c r="G32" i="14"/>
  <c r="I32" i="14" s="1"/>
  <c r="G31" i="14"/>
  <c r="I31" i="14" s="1"/>
  <c r="G30" i="14"/>
  <c r="I30" i="14" s="1"/>
  <c r="G29" i="14"/>
  <c r="I29" i="14" s="1"/>
  <c r="G28" i="14"/>
  <c r="I28" i="14" s="1"/>
  <c r="G27" i="14"/>
  <c r="I27" i="14" s="1"/>
  <c r="G26" i="14"/>
  <c r="I26" i="14" s="1"/>
  <c r="G25" i="14"/>
  <c r="I25" i="14" s="1"/>
  <c r="G24" i="14"/>
  <c r="I24" i="14" s="1"/>
  <c r="G23" i="14"/>
  <c r="I23" i="14" s="1"/>
  <c r="G22" i="14"/>
  <c r="G21" i="14"/>
  <c r="G20" i="14"/>
  <c r="I20" i="14" s="1"/>
  <c r="G19" i="14"/>
  <c r="I19" i="14" s="1"/>
  <c r="G18" i="14"/>
  <c r="I18" i="14" s="1"/>
  <c r="G17" i="14"/>
  <c r="I17" i="14" s="1"/>
  <c r="G16" i="14"/>
  <c r="I16" i="14" s="1"/>
  <c r="G15" i="14"/>
  <c r="I15" i="14" s="1"/>
  <c r="G14" i="14"/>
  <c r="I14" i="14" s="1"/>
  <c r="G13" i="14"/>
  <c r="I13" i="14" s="1"/>
  <c r="G12" i="14"/>
  <c r="I12" i="14" s="1"/>
  <c r="G11" i="14"/>
  <c r="I11" i="14" s="1"/>
  <c r="G10" i="14"/>
  <c r="I10" i="14" s="1"/>
  <c r="G9" i="14"/>
  <c r="I9" i="14" s="1"/>
  <c r="G8" i="14"/>
  <c r="I7" i="14"/>
  <c r="I3" i="14"/>
  <c r="B43" i="13"/>
  <c r="C40" i="13"/>
  <c r="H39" i="13"/>
  <c r="C39" i="13"/>
  <c r="F38" i="13"/>
  <c r="F42" i="13" s="1"/>
  <c r="E38" i="13"/>
  <c r="E42" i="13" s="1"/>
  <c r="D38" i="13"/>
  <c r="D42" i="13" s="1"/>
  <c r="C38" i="13"/>
  <c r="C42" i="13" s="1"/>
  <c r="I42" i="13" s="1"/>
  <c r="I37" i="13"/>
  <c r="I36" i="13"/>
  <c r="G35" i="13"/>
  <c r="I35" i="13" s="1"/>
  <c r="G34" i="13"/>
  <c r="I34" i="13" s="1"/>
  <c r="G33" i="13"/>
  <c r="I33" i="13" s="1"/>
  <c r="G32" i="13"/>
  <c r="I32" i="13" s="1"/>
  <c r="G31" i="13"/>
  <c r="I31" i="13" s="1"/>
  <c r="G30" i="13"/>
  <c r="I30" i="13" s="1"/>
  <c r="G29" i="13"/>
  <c r="I29" i="13" s="1"/>
  <c r="G28" i="13"/>
  <c r="I28" i="13" s="1"/>
  <c r="G27" i="13"/>
  <c r="I27" i="13" s="1"/>
  <c r="G26" i="13"/>
  <c r="I26" i="13" s="1"/>
  <c r="G25" i="13"/>
  <c r="I25" i="13" s="1"/>
  <c r="G24" i="13"/>
  <c r="I24" i="13" s="1"/>
  <c r="G23" i="13"/>
  <c r="I23" i="13" s="1"/>
  <c r="G22" i="13"/>
  <c r="G21" i="13"/>
  <c r="G20" i="13"/>
  <c r="I20" i="13" s="1"/>
  <c r="G19" i="13"/>
  <c r="I19" i="13" s="1"/>
  <c r="G18" i="13"/>
  <c r="I18" i="13" s="1"/>
  <c r="G17" i="13"/>
  <c r="I17" i="13" s="1"/>
  <c r="G16" i="13"/>
  <c r="I16" i="13" s="1"/>
  <c r="G15" i="13"/>
  <c r="I15" i="13" s="1"/>
  <c r="G14" i="13"/>
  <c r="I14" i="13" s="1"/>
  <c r="G13" i="13"/>
  <c r="I13" i="13" s="1"/>
  <c r="G12" i="13"/>
  <c r="I12" i="13" s="1"/>
  <c r="G11" i="13"/>
  <c r="I11" i="13" s="1"/>
  <c r="G10" i="13"/>
  <c r="I10" i="13" s="1"/>
  <c r="G9" i="13"/>
  <c r="I9" i="13" s="1"/>
  <c r="G8" i="13"/>
  <c r="I7" i="13"/>
  <c r="I3" i="13"/>
  <c r="B43" i="12"/>
  <c r="C40" i="12"/>
  <c r="H39" i="12"/>
  <c r="C39" i="12"/>
  <c r="F38" i="12"/>
  <c r="F42" i="12" s="1"/>
  <c r="E38" i="12"/>
  <c r="E42" i="12" s="1"/>
  <c r="D38" i="12"/>
  <c r="D42" i="12" s="1"/>
  <c r="C38" i="12"/>
  <c r="C42" i="12" s="1"/>
  <c r="I42" i="12" s="1"/>
  <c r="I37" i="12"/>
  <c r="I36" i="12"/>
  <c r="G35" i="12"/>
  <c r="I35" i="12" s="1"/>
  <c r="G34" i="12"/>
  <c r="I34" i="12" s="1"/>
  <c r="G33" i="12"/>
  <c r="I33" i="12" s="1"/>
  <c r="G32" i="12"/>
  <c r="I32" i="12" s="1"/>
  <c r="G31" i="12"/>
  <c r="I31" i="12" s="1"/>
  <c r="G30" i="12"/>
  <c r="I30" i="12" s="1"/>
  <c r="G29" i="12"/>
  <c r="I29" i="12" s="1"/>
  <c r="G28" i="12"/>
  <c r="I28" i="12" s="1"/>
  <c r="G27" i="12"/>
  <c r="I27" i="12" s="1"/>
  <c r="I26" i="12"/>
  <c r="G26" i="12"/>
  <c r="G25" i="12"/>
  <c r="I25" i="12" s="1"/>
  <c r="G24" i="12"/>
  <c r="I24" i="12" s="1"/>
  <c r="G23" i="12"/>
  <c r="I23" i="12" s="1"/>
  <c r="G22" i="12"/>
  <c r="G21" i="12"/>
  <c r="G20" i="12"/>
  <c r="I20" i="12" s="1"/>
  <c r="G19" i="12"/>
  <c r="I19" i="12" s="1"/>
  <c r="G18" i="12"/>
  <c r="I18" i="12" s="1"/>
  <c r="G17" i="12"/>
  <c r="I17" i="12" s="1"/>
  <c r="G16" i="12"/>
  <c r="I16" i="12" s="1"/>
  <c r="G15" i="12"/>
  <c r="I15" i="12" s="1"/>
  <c r="G14" i="12"/>
  <c r="I14" i="12" s="1"/>
  <c r="G13" i="12"/>
  <c r="I13" i="12" s="1"/>
  <c r="G12" i="12"/>
  <c r="I12" i="12" s="1"/>
  <c r="G11" i="12"/>
  <c r="I11" i="12" s="1"/>
  <c r="G10" i="12"/>
  <c r="I10" i="12" s="1"/>
  <c r="G9" i="12"/>
  <c r="I9" i="12" s="1"/>
  <c r="G8" i="12"/>
  <c r="I7" i="12"/>
  <c r="I3" i="12"/>
  <c r="B43" i="11"/>
  <c r="C41" i="11"/>
  <c r="H41" i="11" s="1"/>
  <c r="C40" i="11"/>
  <c r="H39" i="11"/>
  <c r="C39" i="11"/>
  <c r="F38" i="11"/>
  <c r="F42" i="11" s="1"/>
  <c r="E38" i="11"/>
  <c r="E42" i="11" s="1"/>
  <c r="D38" i="11"/>
  <c r="D42" i="11" s="1"/>
  <c r="C38" i="11"/>
  <c r="C42" i="11" s="1"/>
  <c r="I42" i="11" s="1"/>
  <c r="I37" i="11"/>
  <c r="I36" i="11"/>
  <c r="G35" i="11"/>
  <c r="I35" i="11" s="1"/>
  <c r="G34" i="11"/>
  <c r="I34" i="11" s="1"/>
  <c r="G33" i="11"/>
  <c r="I33" i="11" s="1"/>
  <c r="G32" i="11"/>
  <c r="I32" i="11" s="1"/>
  <c r="G31" i="11"/>
  <c r="I31" i="11" s="1"/>
  <c r="G30" i="11"/>
  <c r="I30" i="11" s="1"/>
  <c r="G29" i="11"/>
  <c r="I29" i="11" s="1"/>
  <c r="G28" i="11"/>
  <c r="I28" i="11" s="1"/>
  <c r="G27" i="11"/>
  <c r="I27" i="11" s="1"/>
  <c r="G26" i="11"/>
  <c r="G25" i="11"/>
  <c r="I25" i="11" s="1"/>
  <c r="G24" i="11"/>
  <c r="I24" i="11" s="1"/>
  <c r="G23" i="11"/>
  <c r="I23" i="11" s="1"/>
  <c r="G22" i="11"/>
  <c r="G21" i="11"/>
  <c r="G20" i="11"/>
  <c r="I20" i="11" s="1"/>
  <c r="G19" i="11"/>
  <c r="I19" i="11" s="1"/>
  <c r="G18" i="11"/>
  <c r="I18" i="11" s="1"/>
  <c r="G17" i="11"/>
  <c r="I17" i="11" s="1"/>
  <c r="G16" i="11"/>
  <c r="I16" i="11" s="1"/>
  <c r="G15" i="11"/>
  <c r="I15" i="11" s="1"/>
  <c r="G14" i="11"/>
  <c r="I14" i="11" s="1"/>
  <c r="G13" i="11"/>
  <c r="I13" i="11" s="1"/>
  <c r="G12" i="11"/>
  <c r="I12" i="11" s="1"/>
  <c r="G11" i="11"/>
  <c r="I11" i="11" s="1"/>
  <c r="G10" i="11"/>
  <c r="I10" i="11" s="1"/>
  <c r="G9" i="11"/>
  <c r="I9" i="11" s="1"/>
  <c r="G8" i="11"/>
  <c r="I8" i="11" s="1"/>
  <c r="I7" i="11"/>
  <c r="I3" i="11"/>
  <c r="I4" i="11" s="1"/>
  <c r="B43" i="10"/>
  <c r="C40" i="10"/>
  <c r="H39" i="10"/>
  <c r="C39" i="10"/>
  <c r="F38" i="10"/>
  <c r="F42" i="10" s="1"/>
  <c r="E38" i="10"/>
  <c r="E42" i="10" s="1"/>
  <c r="D38" i="10"/>
  <c r="D42" i="10" s="1"/>
  <c r="C38" i="10"/>
  <c r="C42" i="10" s="1"/>
  <c r="I42" i="10" s="1"/>
  <c r="I37" i="10"/>
  <c r="I36" i="10"/>
  <c r="G35" i="10"/>
  <c r="I35" i="10" s="1"/>
  <c r="G34" i="10"/>
  <c r="I34" i="10" s="1"/>
  <c r="G33" i="10"/>
  <c r="I33" i="10" s="1"/>
  <c r="G32" i="10"/>
  <c r="I32" i="10" s="1"/>
  <c r="G31" i="10"/>
  <c r="I31" i="10" s="1"/>
  <c r="G30" i="10"/>
  <c r="I30" i="10" s="1"/>
  <c r="G29" i="10"/>
  <c r="I29" i="10" s="1"/>
  <c r="G28" i="10"/>
  <c r="I28" i="10" s="1"/>
  <c r="G27" i="10"/>
  <c r="I27" i="10" s="1"/>
  <c r="G26" i="10"/>
  <c r="I26" i="10" s="1"/>
  <c r="G25" i="10"/>
  <c r="I25" i="10" s="1"/>
  <c r="G24" i="10"/>
  <c r="I24" i="10" s="1"/>
  <c r="G23" i="10"/>
  <c r="I23" i="10" s="1"/>
  <c r="G22" i="10"/>
  <c r="G21" i="10"/>
  <c r="G20" i="10"/>
  <c r="I20" i="10" s="1"/>
  <c r="G19" i="10"/>
  <c r="I19" i="10" s="1"/>
  <c r="G18" i="10"/>
  <c r="I18" i="10" s="1"/>
  <c r="G17" i="10"/>
  <c r="I17" i="10" s="1"/>
  <c r="G16" i="10"/>
  <c r="I16" i="10" s="1"/>
  <c r="G15" i="10"/>
  <c r="I15" i="10" s="1"/>
  <c r="G14" i="10"/>
  <c r="I14" i="10" s="1"/>
  <c r="G13" i="10"/>
  <c r="I13" i="10" s="1"/>
  <c r="G12" i="10"/>
  <c r="I12" i="10" s="1"/>
  <c r="G11" i="10"/>
  <c r="I11" i="10" s="1"/>
  <c r="G10" i="10"/>
  <c r="I10" i="10" s="1"/>
  <c r="G9" i="10"/>
  <c r="I9" i="10" s="1"/>
  <c r="G8" i="10"/>
  <c r="I7" i="10"/>
  <c r="I3" i="10"/>
  <c r="B43" i="9"/>
  <c r="C40" i="9"/>
  <c r="H39" i="9"/>
  <c r="C39" i="9"/>
  <c r="F38" i="9"/>
  <c r="F42" i="9" s="1"/>
  <c r="E38" i="9"/>
  <c r="E42" i="9" s="1"/>
  <c r="D38" i="9"/>
  <c r="D42" i="9" s="1"/>
  <c r="C38" i="9"/>
  <c r="C42" i="9" s="1"/>
  <c r="I42" i="9" s="1"/>
  <c r="I37" i="9"/>
  <c r="I36" i="9"/>
  <c r="G35" i="9"/>
  <c r="I35" i="9" s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G21" i="9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7" i="9"/>
  <c r="I3" i="9"/>
  <c r="B43" i="8"/>
  <c r="C40" i="8"/>
  <c r="H39" i="8"/>
  <c r="C39" i="8"/>
  <c r="F38" i="8"/>
  <c r="F42" i="8" s="1"/>
  <c r="E38" i="8"/>
  <c r="E42" i="8" s="1"/>
  <c r="D38" i="8"/>
  <c r="D42" i="8" s="1"/>
  <c r="C38" i="8"/>
  <c r="C42" i="8" s="1"/>
  <c r="I42" i="8" s="1"/>
  <c r="I37" i="8"/>
  <c r="I36" i="8"/>
  <c r="G35" i="8"/>
  <c r="I35" i="8" s="1"/>
  <c r="G34" i="8"/>
  <c r="I34" i="8" s="1"/>
  <c r="G33" i="8"/>
  <c r="I33" i="8" s="1"/>
  <c r="G32" i="8"/>
  <c r="I32" i="8" s="1"/>
  <c r="G31" i="8"/>
  <c r="I31" i="8" s="1"/>
  <c r="G30" i="8"/>
  <c r="I30" i="8" s="1"/>
  <c r="G29" i="8"/>
  <c r="I29" i="8" s="1"/>
  <c r="G28" i="8"/>
  <c r="I28" i="8" s="1"/>
  <c r="G27" i="8"/>
  <c r="I27" i="8" s="1"/>
  <c r="G26" i="8"/>
  <c r="I26" i="8" s="1"/>
  <c r="G25" i="8"/>
  <c r="I25" i="8" s="1"/>
  <c r="G24" i="8"/>
  <c r="I24" i="8" s="1"/>
  <c r="G23" i="8"/>
  <c r="I23" i="8" s="1"/>
  <c r="G22" i="8"/>
  <c r="G21" i="8"/>
  <c r="G20" i="8"/>
  <c r="I20" i="8" s="1"/>
  <c r="G19" i="8"/>
  <c r="I19" i="8" s="1"/>
  <c r="G18" i="8"/>
  <c r="I18" i="8" s="1"/>
  <c r="G17" i="8"/>
  <c r="I17" i="8" s="1"/>
  <c r="G16" i="8"/>
  <c r="I16" i="8" s="1"/>
  <c r="G15" i="8"/>
  <c r="I15" i="8" s="1"/>
  <c r="G14" i="8"/>
  <c r="I14" i="8" s="1"/>
  <c r="G13" i="8"/>
  <c r="I13" i="8" s="1"/>
  <c r="G12" i="8"/>
  <c r="I12" i="8" s="1"/>
  <c r="G11" i="8"/>
  <c r="I11" i="8" s="1"/>
  <c r="G10" i="8"/>
  <c r="I10" i="8" s="1"/>
  <c r="G9" i="8"/>
  <c r="I9" i="8" s="1"/>
  <c r="G8" i="8"/>
  <c r="I7" i="8"/>
  <c r="I3" i="8"/>
  <c r="B43" i="7"/>
  <c r="C40" i="7"/>
  <c r="H39" i="7"/>
  <c r="C39" i="7"/>
  <c r="F38" i="7"/>
  <c r="F42" i="7" s="1"/>
  <c r="E38" i="7"/>
  <c r="E42" i="7" s="1"/>
  <c r="D38" i="7"/>
  <c r="D42" i="7" s="1"/>
  <c r="C38" i="7"/>
  <c r="C42" i="7" s="1"/>
  <c r="I42" i="7" s="1"/>
  <c r="I37" i="7"/>
  <c r="I36" i="7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G21" i="7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7" i="7"/>
  <c r="I3" i="7"/>
  <c r="B43" i="6"/>
  <c r="C40" i="6"/>
  <c r="H39" i="6"/>
  <c r="C39" i="6"/>
  <c r="F38" i="6"/>
  <c r="F42" i="6" s="1"/>
  <c r="E38" i="6"/>
  <c r="E42" i="6" s="1"/>
  <c r="D38" i="6"/>
  <c r="D42" i="6" s="1"/>
  <c r="C38" i="6"/>
  <c r="C42" i="6" s="1"/>
  <c r="I42" i="6" s="1"/>
  <c r="I37" i="6"/>
  <c r="I36" i="6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G21" i="6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7" i="6"/>
  <c r="I3" i="6"/>
  <c r="B43" i="5"/>
  <c r="C40" i="5"/>
  <c r="H39" i="5"/>
  <c r="C39" i="5"/>
  <c r="F38" i="5"/>
  <c r="F42" i="5" s="1"/>
  <c r="E38" i="5"/>
  <c r="E42" i="5" s="1"/>
  <c r="D38" i="5"/>
  <c r="D42" i="5" s="1"/>
  <c r="C38" i="5"/>
  <c r="C42" i="5" s="1"/>
  <c r="I42" i="5" s="1"/>
  <c r="I37" i="5"/>
  <c r="I36" i="5"/>
  <c r="G35" i="5"/>
  <c r="I35" i="5" s="1"/>
  <c r="G34" i="5"/>
  <c r="I34" i="5" s="1"/>
  <c r="G33" i="5"/>
  <c r="I33" i="5" s="1"/>
  <c r="G32" i="5"/>
  <c r="I32" i="5" s="1"/>
  <c r="G31" i="5"/>
  <c r="I31" i="5" s="1"/>
  <c r="G30" i="5"/>
  <c r="I30" i="5" s="1"/>
  <c r="G29" i="5"/>
  <c r="I29" i="5" s="1"/>
  <c r="G28" i="5"/>
  <c r="I28" i="5" s="1"/>
  <c r="G27" i="5"/>
  <c r="I27" i="5" s="1"/>
  <c r="G26" i="5"/>
  <c r="I26" i="5" s="1"/>
  <c r="G25" i="5"/>
  <c r="I25" i="5" s="1"/>
  <c r="G24" i="5"/>
  <c r="I24" i="5" s="1"/>
  <c r="G23" i="5"/>
  <c r="I23" i="5" s="1"/>
  <c r="G22" i="5"/>
  <c r="G21" i="5"/>
  <c r="G20" i="5"/>
  <c r="I20" i="5" s="1"/>
  <c r="G19" i="5"/>
  <c r="I19" i="5" s="1"/>
  <c r="G18" i="5"/>
  <c r="I18" i="5" s="1"/>
  <c r="G17" i="5"/>
  <c r="I17" i="5" s="1"/>
  <c r="G16" i="5"/>
  <c r="I16" i="5" s="1"/>
  <c r="G15" i="5"/>
  <c r="I15" i="5" s="1"/>
  <c r="G14" i="5"/>
  <c r="I14" i="5" s="1"/>
  <c r="G13" i="5"/>
  <c r="I13" i="5" s="1"/>
  <c r="G12" i="5"/>
  <c r="I12" i="5" s="1"/>
  <c r="G11" i="5"/>
  <c r="I11" i="5" s="1"/>
  <c r="G10" i="5"/>
  <c r="I10" i="5" s="1"/>
  <c r="G9" i="5"/>
  <c r="I9" i="5" s="1"/>
  <c r="G8" i="5"/>
  <c r="I7" i="5"/>
  <c r="I3" i="5"/>
  <c r="B43" i="4"/>
  <c r="C41" i="4"/>
  <c r="H41" i="4" s="1"/>
  <c r="C40" i="4"/>
  <c r="H39" i="4"/>
  <c r="C39" i="4"/>
  <c r="F38" i="4"/>
  <c r="F42" i="4" s="1"/>
  <c r="E38" i="4"/>
  <c r="E42" i="4" s="1"/>
  <c r="D38" i="4"/>
  <c r="D42" i="4" s="1"/>
  <c r="C38" i="4"/>
  <c r="C42" i="4" s="1"/>
  <c r="I42" i="4" s="1"/>
  <c r="I37" i="4"/>
  <c r="I36" i="4"/>
  <c r="G35" i="4"/>
  <c r="I35" i="4" s="1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G28" i="4"/>
  <c r="I28" i="4" s="1"/>
  <c r="G27" i="4"/>
  <c r="I27" i="4" s="1"/>
  <c r="G26" i="4"/>
  <c r="G25" i="4"/>
  <c r="I25" i="4" s="1"/>
  <c r="G24" i="4"/>
  <c r="I24" i="4" s="1"/>
  <c r="G23" i="4"/>
  <c r="I23" i="4" s="1"/>
  <c r="G22" i="4"/>
  <c r="G21" i="4"/>
  <c r="G20" i="4"/>
  <c r="I20" i="4" s="1"/>
  <c r="G19" i="4"/>
  <c r="I19" i="4" s="1"/>
  <c r="G18" i="4"/>
  <c r="I18" i="4" s="1"/>
  <c r="G17" i="4"/>
  <c r="I17" i="4" s="1"/>
  <c r="G16" i="4"/>
  <c r="I16" i="4" s="1"/>
  <c r="G15" i="4"/>
  <c r="I15" i="4" s="1"/>
  <c r="G14" i="4"/>
  <c r="I14" i="4" s="1"/>
  <c r="G13" i="4"/>
  <c r="I13" i="4" s="1"/>
  <c r="G12" i="4"/>
  <c r="I12" i="4" s="1"/>
  <c r="G11" i="4"/>
  <c r="I11" i="4" s="1"/>
  <c r="G10" i="4"/>
  <c r="I10" i="4" s="1"/>
  <c r="G9" i="4"/>
  <c r="I9" i="4" s="1"/>
  <c r="G8" i="4"/>
  <c r="I8" i="4" s="1"/>
  <c r="I7" i="4"/>
  <c r="I3" i="4"/>
  <c r="I4" i="4" s="1"/>
  <c r="B43" i="3"/>
  <c r="C40" i="3"/>
  <c r="H39" i="3"/>
  <c r="C39" i="3"/>
  <c r="F38" i="3"/>
  <c r="F42" i="3" s="1"/>
  <c r="E38" i="3"/>
  <c r="E42" i="3" s="1"/>
  <c r="D38" i="3"/>
  <c r="D42" i="3" s="1"/>
  <c r="C38" i="3"/>
  <c r="C42" i="3" s="1"/>
  <c r="I42" i="3" s="1"/>
  <c r="I37" i="3"/>
  <c r="I36" i="3"/>
  <c r="G35" i="3"/>
  <c r="I35" i="3" s="1"/>
  <c r="G34" i="3"/>
  <c r="I34" i="3" s="1"/>
  <c r="G33" i="3"/>
  <c r="I33" i="3" s="1"/>
  <c r="G32" i="3"/>
  <c r="I32" i="3" s="1"/>
  <c r="G31" i="3"/>
  <c r="I31" i="3" s="1"/>
  <c r="G30" i="3"/>
  <c r="I30" i="3" s="1"/>
  <c r="G29" i="3"/>
  <c r="I29" i="3" s="1"/>
  <c r="G28" i="3"/>
  <c r="I28" i="3" s="1"/>
  <c r="G27" i="3"/>
  <c r="I27" i="3" s="1"/>
  <c r="G26" i="3"/>
  <c r="I26" i="3" s="1"/>
  <c r="G25" i="3"/>
  <c r="I25" i="3" s="1"/>
  <c r="G24" i="3"/>
  <c r="I24" i="3" s="1"/>
  <c r="G23" i="3"/>
  <c r="I23" i="3" s="1"/>
  <c r="G22" i="3"/>
  <c r="G21" i="3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7" i="3"/>
  <c r="I3" i="3"/>
  <c r="B43" i="2"/>
  <c r="C40" i="2"/>
  <c r="H39" i="2"/>
  <c r="C39" i="2"/>
  <c r="F38" i="2"/>
  <c r="F42" i="2" s="1"/>
  <c r="E38" i="2"/>
  <c r="E42" i="2" s="1"/>
  <c r="D38" i="2"/>
  <c r="D42" i="2" s="1"/>
  <c r="C38" i="2"/>
  <c r="C42" i="2" s="1"/>
  <c r="I42" i="2" s="1"/>
  <c r="I37" i="2"/>
  <c r="I36" i="2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G21" i="2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7" i="2"/>
  <c r="I3" i="2"/>
  <c r="B43" i="1"/>
  <c r="C40" i="1"/>
  <c r="H39" i="1"/>
  <c r="C39" i="1"/>
  <c r="F38" i="1"/>
  <c r="F42" i="1" s="1"/>
  <c r="E38" i="1"/>
  <c r="E42" i="1" s="1"/>
  <c r="D38" i="1"/>
  <c r="D42" i="1" s="1"/>
  <c r="C38" i="1"/>
  <c r="C42" i="1" s="1"/>
  <c r="I42" i="1" s="1"/>
  <c r="I37" i="1"/>
  <c r="I36" i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G21" i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7" i="1"/>
  <c r="I3" i="1"/>
  <c r="I22" i="28" l="1"/>
  <c r="I21" i="28"/>
  <c r="I39" i="28"/>
  <c r="I8" i="28"/>
  <c r="C41" i="28"/>
  <c r="H41" i="28" s="1"/>
  <c r="I4" i="28"/>
  <c r="I22" i="27"/>
  <c r="I21" i="27"/>
  <c r="I39" i="27"/>
  <c r="I8" i="27"/>
  <c r="C41" i="27"/>
  <c r="H41" i="27" s="1"/>
  <c r="I4" i="27"/>
  <c r="I22" i="26"/>
  <c r="I21" i="26"/>
  <c r="I39" i="26"/>
  <c r="I8" i="26"/>
  <c r="C41" i="26"/>
  <c r="H41" i="26" s="1"/>
  <c r="I4" i="26"/>
  <c r="I39" i="25"/>
  <c r="I26" i="25"/>
  <c r="I22" i="25"/>
  <c r="I21" i="25"/>
  <c r="I22" i="24"/>
  <c r="I21" i="24"/>
  <c r="I39" i="24"/>
  <c r="I8" i="24"/>
  <c r="C41" i="24"/>
  <c r="H41" i="24" s="1"/>
  <c r="I4" i="24"/>
  <c r="I22" i="23"/>
  <c r="I21" i="23"/>
  <c r="I39" i="23"/>
  <c r="I8" i="23"/>
  <c r="C41" i="23"/>
  <c r="H41" i="23" s="1"/>
  <c r="I4" i="23"/>
  <c r="I39" i="22"/>
  <c r="I8" i="22"/>
  <c r="C41" i="22"/>
  <c r="H41" i="22" s="1"/>
  <c r="I4" i="22"/>
  <c r="I22" i="21"/>
  <c r="I21" i="21"/>
  <c r="I8" i="21"/>
  <c r="I39" i="21"/>
  <c r="I4" i="21"/>
  <c r="C41" i="21"/>
  <c r="H41" i="21" s="1"/>
  <c r="I22" i="20"/>
  <c r="I21" i="20"/>
  <c r="I39" i="20"/>
  <c r="I8" i="20"/>
  <c r="C41" i="20"/>
  <c r="H41" i="20" s="1"/>
  <c r="I4" i="20"/>
  <c r="I22" i="19"/>
  <c r="I21" i="19"/>
  <c r="I8" i="19"/>
  <c r="I39" i="19"/>
  <c r="I4" i="19"/>
  <c r="C41" i="19"/>
  <c r="H41" i="19" s="1"/>
  <c r="I39" i="18"/>
  <c r="I26" i="18"/>
  <c r="I22" i="18"/>
  <c r="I21" i="18"/>
  <c r="I21" i="17"/>
  <c r="I22" i="17"/>
  <c r="I39" i="17"/>
  <c r="I8" i="17"/>
  <c r="I4" i="17"/>
  <c r="C41" i="17"/>
  <c r="H41" i="17" s="1"/>
  <c r="I22" i="16"/>
  <c r="I21" i="16"/>
  <c r="I39" i="16"/>
  <c r="I8" i="16"/>
  <c r="C41" i="16"/>
  <c r="H41" i="16" s="1"/>
  <c r="I4" i="16"/>
  <c r="I21" i="15"/>
  <c r="I22" i="15"/>
  <c r="I8" i="15"/>
  <c r="I39" i="15"/>
  <c r="C41" i="15"/>
  <c r="H41" i="15" s="1"/>
  <c r="I4" i="15"/>
  <c r="I22" i="14"/>
  <c r="I21" i="14"/>
  <c r="I8" i="14"/>
  <c r="I39" i="14"/>
  <c r="I4" i="14"/>
  <c r="C41" i="14"/>
  <c r="H41" i="14" s="1"/>
  <c r="I22" i="13"/>
  <c r="I21" i="13"/>
  <c r="I8" i="13"/>
  <c r="I39" i="13"/>
  <c r="C41" i="13"/>
  <c r="H41" i="13" s="1"/>
  <c r="I4" i="13"/>
  <c r="I21" i="12"/>
  <c r="I22" i="12"/>
  <c r="I39" i="12"/>
  <c r="I8" i="12"/>
  <c r="C41" i="12"/>
  <c r="H41" i="12" s="1"/>
  <c r="I4" i="12"/>
  <c r="I39" i="11"/>
  <c r="I26" i="11"/>
  <c r="I22" i="11"/>
  <c r="I21" i="11"/>
  <c r="I22" i="10"/>
  <c r="I21" i="10"/>
  <c r="I8" i="10"/>
  <c r="I39" i="10"/>
  <c r="I4" i="10"/>
  <c r="C41" i="10"/>
  <c r="H41" i="10" s="1"/>
  <c r="I22" i="9"/>
  <c r="I21" i="9"/>
  <c r="I8" i="9"/>
  <c r="I39" i="9"/>
  <c r="I4" i="9"/>
  <c r="C41" i="9"/>
  <c r="H41" i="9" s="1"/>
  <c r="I22" i="8"/>
  <c r="I21" i="8"/>
  <c r="I39" i="8"/>
  <c r="I8" i="8"/>
  <c r="C41" i="8"/>
  <c r="H41" i="8" s="1"/>
  <c r="I4" i="8"/>
  <c r="I21" i="7"/>
  <c r="I22" i="7"/>
  <c r="I39" i="7"/>
  <c r="I8" i="7"/>
  <c r="I4" i="7"/>
  <c r="C41" i="7"/>
  <c r="H41" i="7" s="1"/>
  <c r="I21" i="6"/>
  <c r="I22" i="6"/>
  <c r="I39" i="6"/>
  <c r="I8" i="6"/>
  <c r="C41" i="6"/>
  <c r="H41" i="6" s="1"/>
  <c r="I4" i="6"/>
  <c r="I21" i="5"/>
  <c r="I22" i="5"/>
  <c r="I39" i="5"/>
  <c r="I8" i="5"/>
  <c r="C41" i="5"/>
  <c r="H41" i="5" s="1"/>
  <c r="I4" i="5"/>
  <c r="I26" i="4"/>
  <c r="I39" i="4"/>
  <c r="I22" i="4"/>
  <c r="I21" i="4"/>
  <c r="I22" i="3"/>
  <c r="I21" i="3"/>
  <c r="I39" i="3"/>
  <c r="I8" i="3"/>
  <c r="I4" i="3"/>
  <c r="C41" i="3"/>
  <c r="H41" i="3" s="1"/>
  <c r="I22" i="2"/>
  <c r="I21" i="2"/>
  <c r="I8" i="2"/>
  <c r="I39" i="2"/>
  <c r="I4" i="2"/>
  <c r="C41" i="2"/>
  <c r="H41" i="2" s="1"/>
  <c r="I22" i="1"/>
  <c r="I21" i="1"/>
  <c r="I8" i="1"/>
  <c r="I39" i="1"/>
  <c r="C41" i="1"/>
  <c r="H41" i="1" s="1"/>
  <c r="I4" i="1"/>
</calcChain>
</file>

<file path=xl/sharedStrings.xml><?xml version="1.0" encoding="utf-8"?>
<sst xmlns="http://schemas.openxmlformats.org/spreadsheetml/2006/main" count="2726" uniqueCount="288">
  <si>
    <t>بطاقة عامل</t>
  </si>
  <si>
    <t>بداية الشهر</t>
  </si>
  <si>
    <t>الراتب الاساسي :</t>
  </si>
  <si>
    <t>نهاية الشهر</t>
  </si>
  <si>
    <t xml:space="preserve">الراتب اليومي : </t>
  </si>
  <si>
    <t>اسم الموظف</t>
  </si>
  <si>
    <t>Abdullah Ghazi</t>
  </si>
  <si>
    <t>الشهر</t>
  </si>
  <si>
    <t>January</t>
  </si>
  <si>
    <t>ساعة العامل :</t>
  </si>
  <si>
    <t>التاريخ</t>
  </si>
  <si>
    <t>الحضور</t>
  </si>
  <si>
    <t xml:space="preserve">ساعات العمل </t>
  </si>
  <si>
    <t xml:space="preserve">ساعات العمل الإضافية </t>
  </si>
  <si>
    <t>ساعات العمل خلال الإجازة</t>
  </si>
  <si>
    <t xml:space="preserve">ساعات العمل بالمناسبات الرسمية </t>
  </si>
  <si>
    <t>إجازة مرضية</t>
  </si>
  <si>
    <t>المشروع</t>
  </si>
  <si>
    <t>الاجمالي</t>
  </si>
  <si>
    <t>إجمالي عدد الساعات :</t>
  </si>
  <si>
    <t>الملاحظات :</t>
  </si>
  <si>
    <t>إجمالي عدد ايام الدوام :</t>
  </si>
  <si>
    <t>الاجازات المرضية</t>
  </si>
  <si>
    <t>إجمالي عدد ايام الغياب :</t>
  </si>
  <si>
    <t>قيمة الخصم الاضافي</t>
  </si>
  <si>
    <t>قيمة الخصم :</t>
  </si>
  <si>
    <t>مجموع الخصم :</t>
  </si>
  <si>
    <t>إجمالي الأجر بعد الخصم :</t>
  </si>
  <si>
    <t>: الإجمالي</t>
  </si>
  <si>
    <t xml:space="preserve">التاريخ : </t>
  </si>
  <si>
    <t xml:space="preserve">توقيع الموظف : </t>
  </si>
  <si>
    <t xml:space="preserve">توقيع المدير : </t>
  </si>
  <si>
    <t>3500</t>
  </si>
  <si>
    <t>محمد عرفان مظفر حسين</t>
  </si>
  <si>
    <t>P</t>
  </si>
  <si>
    <t>Waleed Al Amari</t>
  </si>
  <si>
    <t>H</t>
  </si>
  <si>
    <t>Faya 334</t>
  </si>
  <si>
    <t>W</t>
  </si>
  <si>
    <t>Abdullah Aljunaibi</t>
  </si>
  <si>
    <t>Farm 826</t>
  </si>
  <si>
    <t>Abo-Abdullah-Villa</t>
  </si>
  <si>
    <t>3300</t>
  </si>
  <si>
    <t>محمد جمعة</t>
  </si>
  <si>
    <t>2400</t>
  </si>
  <si>
    <t>وزير خان حبيب الله خان</t>
  </si>
  <si>
    <t>Alanoud Al qubaisi</t>
  </si>
  <si>
    <t>Salem Al Zaabi</t>
  </si>
  <si>
    <t>Saeed Al Zubaidi</t>
  </si>
  <si>
    <t>2600</t>
  </si>
  <si>
    <t>عبدالودود عجب خان</t>
  </si>
  <si>
    <t>1400</t>
  </si>
  <si>
    <t>برينس كومار بانديت بهارات</t>
  </si>
  <si>
    <t>AWO</t>
  </si>
  <si>
    <t>1300</t>
  </si>
  <si>
    <t>راما كانت ياداف سانترا ج ياداف</t>
  </si>
  <si>
    <t>1500</t>
  </si>
  <si>
    <t>عدنان محمد يوسف</t>
  </si>
  <si>
    <t>محمد رضوان فاروق احمد اختر</t>
  </si>
  <si>
    <t>V</t>
  </si>
  <si>
    <t>1100</t>
  </si>
  <si>
    <t>نظر جان محمد ظاهر</t>
  </si>
  <si>
    <t>تنزيل طابوق</t>
  </si>
  <si>
    <t>1200</t>
  </si>
  <si>
    <t>ارشد على عزيز اور الرحمن</t>
  </si>
  <si>
    <t>1000</t>
  </si>
  <si>
    <t>تامانج جولشان</t>
  </si>
  <si>
    <t>3000</t>
  </si>
  <si>
    <t>محمد مصطفى يوسف  غانم</t>
  </si>
  <si>
    <t>4500</t>
  </si>
  <si>
    <t>عجب خان</t>
  </si>
  <si>
    <t>Al Saada Complex</t>
  </si>
  <si>
    <t xml:space="preserve">holiday of  new year </t>
  </si>
  <si>
    <t>Al Saada Complex 3hrs + Saqia 20 5hrs</t>
  </si>
  <si>
    <t xml:space="preserve">we make pipe in P20  also  72 cover pipe </t>
  </si>
  <si>
    <t>Al Saada Complex 3hrs + Abo-Abdullah-Villa 5hrs</t>
  </si>
  <si>
    <t>I fix water leaking in. flat E3. also I. Baba home we open drain line in basement area</t>
  </si>
  <si>
    <t>Weekly off</t>
  </si>
  <si>
    <t>Al Karama Complex 4hrs + Al Saada Complex 4hrs</t>
  </si>
  <si>
    <t xml:space="preserve">I bring material for Baba home  cealling  also painting </t>
  </si>
  <si>
    <t>we painting in 130 villa . also k1 outer paint</t>
  </si>
  <si>
    <t>Abo-Abdullah-Villa 5hrs + Home`s Mr.Abdullah 3hrs</t>
  </si>
  <si>
    <t>we fix cealling in first floor also  we painting work in villa 130</t>
  </si>
  <si>
    <t>Al Salam Complex 4hrs + Farm 826 4hrs</t>
  </si>
  <si>
    <t xml:space="preserve">we clean villa . switch close. outer villa  clean. </t>
  </si>
  <si>
    <t>Al Saada Complex 2hrs + Home`s Mr.Abdullah 6hrs</t>
  </si>
  <si>
    <t xml:space="preserve">we fix Ciramic in arbab home  . </t>
  </si>
  <si>
    <t>Al Saada Complex 3hrs + Al Shahama complex 5hrs</t>
  </si>
  <si>
    <t xml:space="preserve">we fix led lights in shahama. also   we make ppr pipe </t>
  </si>
  <si>
    <t>wee</t>
  </si>
  <si>
    <t xml:space="preserve">I go mussafha I bring. bed for. farm people. Alsaada  ppr pipe line we start  changing all </t>
  </si>
  <si>
    <t xml:space="preserve">we clean drange . also some lights changed in Baba home. Alsaada we fix wire for ac </t>
  </si>
  <si>
    <t>Al Karama Complex 3hrs + Al Salam Complex 5hrs</t>
  </si>
  <si>
    <t xml:space="preserve">I bring material for Alsaada compound also for Baba home </t>
  </si>
  <si>
    <t>Al Saada Complex 6hrs + Saqia 20 2hrs</t>
  </si>
  <si>
    <t xml:space="preserve">we make one lockdoor for offic 15  .also I purchased for Baba home Ac material </t>
  </si>
  <si>
    <t>Al Salam Complex 3hrs + Abo-Abdullah-Villa 5hrs</t>
  </si>
  <si>
    <t xml:space="preserve">we fix Ac in Baba home . also we chak door sensor in  salam villa </t>
  </si>
  <si>
    <t>Abo-Abdullah-Villa 5hrs + Al Salam Complex 3hrs</t>
  </si>
  <si>
    <t>we fix indoor Ac in new room. also in salam villa flat 1 Ac work</t>
  </si>
  <si>
    <t xml:space="preserve">Weekly off </t>
  </si>
  <si>
    <t xml:space="preserve">we removed play area shade  I give in misses for repair </t>
  </si>
  <si>
    <t>Home`s Mr.Abdullah 3hrs + Al Shahama complex 5hrs</t>
  </si>
  <si>
    <t xml:space="preserve">I provide pain for my team. they started painting 🎨 in arbab home. ply area . shahmma we changed 2 water heater </t>
  </si>
  <si>
    <t>Al Saada Complex 5hrs + M38_P107 3hrs</t>
  </si>
  <si>
    <t>we fix door for store in Alsaada compound. also we fix manhole in 107 area</t>
  </si>
  <si>
    <t>Al Karama Complex 3hrs + Farm 826 5hrs</t>
  </si>
  <si>
    <t xml:space="preserve">we broke toilet floor in villa 4.also I go fram villa. we clean . </t>
  </si>
  <si>
    <t>Al Karama Complex 5hrs + Al Saada Complex 3hrs</t>
  </si>
  <si>
    <t xml:space="preserve">we check leakage in d6 flat also we fix Ciramic in villa k4 toilet </t>
  </si>
  <si>
    <t>Al Karama Complex 5hrs + Adil Villa 3hrs</t>
  </si>
  <si>
    <t>I give. fridge to machanic in mussafha. also we make maintenance in adil villa</t>
  </si>
  <si>
    <t xml:space="preserve">Weekly off . I bring fridge for arbab home </t>
  </si>
  <si>
    <t>Al Karama Complex 3hrs + Al Saada Complex 5hrs</t>
  </si>
  <si>
    <t xml:space="preserve">I bring material for baba home  also for adill villa </t>
  </si>
  <si>
    <t>Al Saada Complex 4hrs + Home`s Mr.Abdullah 4hrs</t>
  </si>
  <si>
    <t>I provide material for Alsaada water heater also we fix pipes in arbab home</t>
  </si>
  <si>
    <t>Home`s Mr.Abdullah 4hrs + Al Karama Complex 4hrs</t>
  </si>
  <si>
    <t>I bring material for karama villa 1.also we fix ply area tarpal</t>
  </si>
  <si>
    <t>Home`s Mr.Abdullah 4hrs + Al Shahama complex 4hrs</t>
  </si>
  <si>
    <t xml:space="preserve">I bring gas stove for farm villa.also we. fix  shade in arbab home </t>
  </si>
  <si>
    <t>Al Karama Complex 4hrs + Al Salam Complex 4hrs</t>
  </si>
  <si>
    <t xml:space="preserve">we planting in Alsaada also we fix water pump in alkarama 0 flat </t>
  </si>
  <si>
    <t>Al Shahama complex 4hrs + Al Saada Complex 4hrs</t>
  </si>
  <si>
    <t>we put insulation  in Baba home. also  I bring bed for shban</t>
  </si>
  <si>
    <t>2000</t>
  </si>
  <si>
    <t>حفيظ الله</t>
  </si>
  <si>
    <t xml:space="preserve">holiday day new year </t>
  </si>
  <si>
    <t>SL</t>
  </si>
  <si>
    <t xml:space="preserve">he have fractured </t>
  </si>
  <si>
    <t xml:space="preserve">he sick. </t>
  </si>
  <si>
    <t>A</t>
  </si>
  <si>
    <t>he is in the room</t>
  </si>
  <si>
    <t>he make water leaking. also door 🎨</t>
  </si>
  <si>
    <t>Home`s Mr.Abdullah 3hrs + Al Saada Complex 5hrs</t>
  </si>
  <si>
    <t>in 130villa he  painting work</t>
  </si>
  <si>
    <t>Al Saada Complex 5hrs + Home`s Mr.Abdullah 3hrs</t>
  </si>
  <si>
    <t>cleaning stor also b5 Ac check. 132</t>
  </si>
  <si>
    <t>he check Ac in b5 flat</t>
  </si>
  <si>
    <t xml:space="preserve">Cleaning work in villa  also raping Ac pipe </t>
  </si>
  <si>
    <t>he fix ppr pipe also  one Ac work</t>
  </si>
  <si>
    <t xml:space="preserve">Ac wair fix for A1 flat. ppr pipe work on e villa  </t>
  </si>
  <si>
    <t>ppr pipe line  fix on the roof of e villa</t>
  </si>
  <si>
    <t xml:space="preserve">he fix  posters for ppr pipe </t>
  </si>
  <si>
    <t xml:space="preserve">he fix Ac work in Baba home </t>
  </si>
  <si>
    <t xml:space="preserve">ac fix in Baba home </t>
  </si>
  <si>
    <t>Home`s Mr.Abdullah</t>
  </si>
  <si>
    <t>he remove play area  shade in Arbab home</t>
  </si>
  <si>
    <t>painting pipe for shade</t>
  </si>
  <si>
    <t>he fix door for  store</t>
  </si>
  <si>
    <t>Al Karama Complex</t>
  </si>
  <si>
    <t xml:space="preserve">he broke floor in villa 4 </t>
  </si>
  <si>
    <t xml:space="preserve">water leaking search also pipe make in d6 flat </t>
  </si>
  <si>
    <t>Adil Villa</t>
  </si>
  <si>
    <t xml:space="preserve">lights and water heater work. </t>
  </si>
  <si>
    <t xml:space="preserve">he fix cealling also  cleaning work </t>
  </si>
  <si>
    <t xml:space="preserve">he fix water heater also sinks mixer </t>
  </si>
  <si>
    <t>watch main duty</t>
  </si>
  <si>
    <t xml:space="preserve">watch Man work </t>
  </si>
  <si>
    <t xml:space="preserve">he plantings in  Alsaada </t>
  </si>
  <si>
    <t>he put insulation  on Ac pipe</t>
  </si>
  <si>
    <t>شمس الرحمن</t>
  </si>
  <si>
    <t>Al Shahama complex</t>
  </si>
  <si>
    <t>new year off</t>
  </si>
  <si>
    <t xml:space="preserve">Cleaning work in villa </t>
  </si>
  <si>
    <t xml:space="preserve">Week off also cleaning </t>
  </si>
  <si>
    <t xml:space="preserve">cleaning work also Ac work </t>
  </si>
  <si>
    <t>Al Shahama complex 4hrs + Farm 826 4hrs</t>
  </si>
  <si>
    <t>Cleaning work in villa also farm villa</t>
  </si>
  <si>
    <t xml:space="preserve">Weekly off cleaning work </t>
  </si>
  <si>
    <t>he  clean villa also water leaking cheak</t>
  </si>
  <si>
    <t>Cleaning work in villa . also change water heater 2pcs</t>
  </si>
  <si>
    <t>he cleaning Ac in flat 0</t>
  </si>
  <si>
    <t>Cleaning work in villa . also electric. reset</t>
  </si>
  <si>
    <t>رحمت الله</t>
  </si>
  <si>
    <t>Al Salam Complex</t>
  </si>
  <si>
    <t>Saqia 20 5hrs + Home`s Mr.Abdullah 3hrs</t>
  </si>
  <si>
    <t>he make pipe also fosters work</t>
  </si>
  <si>
    <t>Abo-Abdullah-Villa 4hrs + Al Karama Complex 4hrs</t>
  </si>
  <si>
    <t xml:space="preserve">he fix led lights in Baba home . k2 Ac worke </t>
  </si>
  <si>
    <t xml:space="preserve">Weekly off  also cleaning work </t>
  </si>
  <si>
    <t>bascom fix I k 1 villa</t>
  </si>
  <si>
    <t>Cleaning work in villa . also painting work</t>
  </si>
  <si>
    <t xml:space="preserve">he fix cealling  work  in Baba home </t>
  </si>
  <si>
    <t>Cleaning work in villa . parking line make. cleaning farm villa</t>
  </si>
  <si>
    <t xml:space="preserve">he fix. Ciramic also cleaning work. </t>
  </si>
  <si>
    <t>Al Salam Complex 3hrs + Al Shahama complex 5hrs</t>
  </si>
  <si>
    <t>lights fix also cleaning work in salam villa</t>
  </si>
  <si>
    <t>Al Salam Complex 1hrs + Abo-Abdullah-Villa 7hrs</t>
  </si>
  <si>
    <t>he fix light in Baba home . also cleaning in villa</t>
  </si>
  <si>
    <t xml:space="preserve">he changed lights in Baba home also some cleaning work. 132villa. fix. ner for window </t>
  </si>
  <si>
    <t>Al Salam Complex 4hrs + Al Karama Complex 4hrs</t>
  </si>
  <si>
    <t>Cleaning work in villa  salam . also Ac work</t>
  </si>
  <si>
    <t>Saqia 20 2hrs + Al Salam Complex 6hrs</t>
  </si>
  <si>
    <t>he make  door lock. also some  cleaning works in villa salam</t>
  </si>
  <si>
    <t>Al Salam Complex 4hrs + Abo-Abdullah-Villa 4hrs</t>
  </si>
  <si>
    <t>Cleaning work in villa salam. also Baba home work</t>
  </si>
  <si>
    <t xml:space="preserve">Cleaning work in villa . also Ac work in flat 1 </t>
  </si>
  <si>
    <t xml:space="preserve">he remove play area shade in arbab home . </t>
  </si>
  <si>
    <t>he changed water heater in flt2</t>
  </si>
  <si>
    <t>M38_P107 3hrs + Al Saada Complex 5hrs</t>
  </si>
  <si>
    <t>he fix manhole also door fix</t>
  </si>
  <si>
    <t>he broke toilet floor in villa 4</t>
  </si>
  <si>
    <t>Al Karama Complex 4hrs + Abo-Abdullah-Villa 4hrs</t>
  </si>
  <si>
    <t xml:space="preserve">he  clean in Baba home. mainhol. also karam 4  toilets  </t>
  </si>
  <si>
    <t xml:space="preserve">he fix light and water heater.. in adill villa </t>
  </si>
  <si>
    <t xml:space="preserve">Weekly off also cleaning work </t>
  </si>
  <si>
    <t xml:space="preserve">he make  welding 🥽 for pipe </t>
  </si>
  <si>
    <t>Cleaning work in villa also he fix pipe for shade</t>
  </si>
  <si>
    <t xml:space="preserve">Cleaning work in villa . also. play area shade fix </t>
  </si>
  <si>
    <t>Home`s Mr.Abdullah 6hrs + Al Salam Complex 2hrs</t>
  </si>
  <si>
    <t xml:space="preserve">Cleaning work in villa salam. also fix shade in arbab home </t>
  </si>
  <si>
    <t xml:space="preserve">he put inside on Ac pipe </t>
  </si>
  <si>
    <t>محمد بلال احمد</t>
  </si>
  <si>
    <t>محمد ادريس عجب كل</t>
  </si>
  <si>
    <t xml:space="preserve"> محمد عويس شير اكبر</t>
  </si>
  <si>
    <t>Saqia 72</t>
  </si>
  <si>
    <t xml:space="preserve">تنزيل طابوق </t>
  </si>
  <si>
    <t>نداء الله محمد ايوب خان</t>
  </si>
  <si>
    <t>holiday new year</t>
  </si>
  <si>
    <t xml:space="preserve">painting work in flat b4 </t>
  </si>
  <si>
    <t>Cleaning work in villa of Baba. k2 shade fix for water tank</t>
  </si>
  <si>
    <t>painting and repair work villa 1</t>
  </si>
  <si>
    <t>he painting main door for villa 130</t>
  </si>
  <si>
    <t xml:space="preserve">painting work </t>
  </si>
  <si>
    <t>Cleaning work in villa  also Ciramic work</t>
  </si>
  <si>
    <t xml:space="preserve">ppr pipe work also some cleaning worke </t>
  </si>
  <si>
    <t xml:space="preserve">ppr work on e villa. ne pipe insulation </t>
  </si>
  <si>
    <t>ppr pipe  fittings on villa e</t>
  </si>
  <si>
    <t xml:space="preserve">he fix posters insulation for water pipe line </t>
  </si>
  <si>
    <t xml:space="preserve">he fix Ac in Baba home </t>
  </si>
  <si>
    <t>Ac fix in Baba home</t>
  </si>
  <si>
    <t xml:space="preserve">he remove play area shade in arbab home </t>
  </si>
  <si>
    <t>painting pipe for shade arbab home</t>
  </si>
  <si>
    <t xml:space="preserve">he paint pipe for arbab  home  </t>
  </si>
  <si>
    <t>he broke toilet floor  villa 4</t>
  </si>
  <si>
    <t>Abo-Abdullah-Villa 3hrs + Al Karama Complex 5hrs</t>
  </si>
  <si>
    <t xml:space="preserve">he clean mainhol in Baba home </t>
  </si>
  <si>
    <t>he fix WC and washbisan in villa 4.</t>
  </si>
  <si>
    <t>he painting pipe for arbab home</t>
  </si>
  <si>
    <t xml:space="preserve">he fixed pipe also cleaning work </t>
  </si>
  <si>
    <t xml:space="preserve">ply area. shade fixing </t>
  </si>
  <si>
    <t xml:space="preserve">he make water pump and bed with Bilal </t>
  </si>
  <si>
    <t xml:space="preserve">he put insulation on av pipe </t>
  </si>
  <si>
    <t>بلال خان سعيد رحمن</t>
  </si>
  <si>
    <t xml:space="preserve">holiday. new. year </t>
  </si>
  <si>
    <t>Home`s Mr.Abdullah 3hrs + Saqia 20 5hrs</t>
  </si>
  <si>
    <t>painting  of tandoori cover. also pipe make in. p20</t>
  </si>
  <si>
    <t>he. open drain pipe in Baba home. karam 2 make shade  for tank</t>
  </si>
  <si>
    <t xml:space="preserve">Weekly off also 130 v water  pump works </t>
  </si>
  <si>
    <t>painting work in 130 villa</t>
  </si>
  <si>
    <t>Home`s Mr.Abdullah 4hrs + Al Saada Complex 4hrs</t>
  </si>
  <si>
    <t xml:space="preserve">we painting 130 villa. also fix leaking in e villa . </t>
  </si>
  <si>
    <t xml:space="preserve">he fix cealling in  Baba home. also painting </t>
  </si>
  <si>
    <t xml:space="preserve">Ciramic work in arbab home </t>
  </si>
  <si>
    <t>alkarama cleaning and machine fix</t>
  </si>
  <si>
    <t>cleaning work week off</t>
  </si>
  <si>
    <t xml:space="preserve">he fix light and switch. cleaning in alkarama come </t>
  </si>
  <si>
    <t xml:space="preserve">Cleaning work in villa . also electric work light change </t>
  </si>
  <si>
    <t xml:space="preserve">he changed pump in Masjid alkarama </t>
  </si>
  <si>
    <t>Masjid Al Karama</t>
  </si>
  <si>
    <t>ha change light and shatoff in Masjid toilet area</t>
  </si>
  <si>
    <t>he fix Ac in Baba home</t>
  </si>
  <si>
    <t xml:space="preserve">he remove play area  shade in arbab home </t>
  </si>
  <si>
    <t>painting work in arbab home. shadepaint</t>
  </si>
  <si>
    <t>he shift. pipe in arbab home</t>
  </si>
  <si>
    <t xml:space="preserve">he broke toilet floor also. transfer materials </t>
  </si>
  <si>
    <t>Home`s Mr.Abdullah 3hrs + Al Karama Complex 5hrs</t>
  </si>
  <si>
    <t xml:space="preserve">shifting sand for villa 4.also open pipe in arbab home </t>
  </si>
  <si>
    <t xml:space="preserve">he fix WC and washbisan in villa 4 . also grouting works </t>
  </si>
  <si>
    <t xml:space="preserve">Weekly off also  villa 2 water pump check </t>
  </si>
  <si>
    <t xml:space="preserve">he make  water pump. also cleaning work </t>
  </si>
  <si>
    <t xml:space="preserve">Cleaning work in villa also fix pip </t>
  </si>
  <si>
    <t>he fix. play are. shade</t>
  </si>
  <si>
    <t xml:space="preserve">he make bed and water pump </t>
  </si>
  <si>
    <t xml:space="preserve">he make water pump repair </t>
  </si>
  <si>
    <t>900</t>
  </si>
  <si>
    <t>ميلكامو مولا بيليو</t>
  </si>
  <si>
    <t>امارى ميسقى وبيتو</t>
  </si>
  <si>
    <t>ابابو موجيس نيجيس</t>
  </si>
  <si>
    <t>باجر انجلال شارهان</t>
  </si>
  <si>
    <t xml:space="preserve"> كليم الله شيرال</t>
  </si>
  <si>
    <t>محمد شاهجان جازى</t>
  </si>
  <si>
    <t>holiday  new year off</t>
  </si>
  <si>
    <t xml:space="preserve">cleaning work in villa </t>
  </si>
  <si>
    <t xml:space="preserve">door painting also. he give water to plant </t>
  </si>
  <si>
    <t xml:space="preserve">Cleaning work in villa . also gate looking </t>
  </si>
  <si>
    <t xml:space="preserve">he 🌵 planting with hafiz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</si>
</sst>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AED&quot;* #,##0.00_-;\-&quot;AED&quot;* #,##0.00_-;_-&quot;AED&quot;* &quot;-&quot;??_-;_-@_-"/>
    <numFmt numFmtId="164" formatCode="_-[$AED]* #,##0_-;\-[$AED]* #,##0_-;_-[$AED]* &quot;-&quot;_-;_-@_-"/>
    <numFmt numFmtId="165" formatCode="_-[$AED]* #,##0.00_-;\-[$AED]* #,##0.00_-;_-[$AED]* &quot;-&quot;??_-;_-@_-"/>
    <numFmt numFmtId="166" formatCode="_([$AED]\ * #,##0_);_([$AED]\ * \(#,##0\);_([$AED]\ * &quot;-&quot;_);_(@_)"/>
    <numFmt numFmtId="167" formatCode="[$-409]d\-mmm\-yyyy;@"/>
    <numFmt numFmtId="168" formatCode="[$-10000]dd/mm/yyyy;@"/>
    <numFmt numFmtId="169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 tint="-0.24994659260841701"/>
      <name val="Tahoma"/>
      <family val="2"/>
    </font>
    <font>
      <sz val="14"/>
      <color theme="1"/>
      <name val="Tahoma"/>
      <family val="2"/>
    </font>
    <font>
      <sz val="14"/>
      <color theme="9" tint="-0.24994659260841701"/>
      <name val="Tahoma"/>
      <family val="2"/>
    </font>
    <font>
      <b/>
      <sz val="14"/>
      <color rgb="FFFFFFFF"/>
      <name val="Tahoma"/>
      <family val="2"/>
    </font>
    <font>
      <sz val="14"/>
      <color rgb="FF000000"/>
      <name val="Tahoma"/>
      <family val="2"/>
    </font>
    <font>
      <b/>
      <sz val="14"/>
      <color theme="0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Arial"/>
      <family val="2"/>
    </font>
    <font>
      <b/>
      <sz val="14"/>
      <name val="Tahoma"/>
      <family val="2"/>
    </font>
    <font>
      <b/>
      <sz val="14"/>
      <name val="Segoe UI"/>
      <family val="2"/>
    </font>
    <font>
      <b/>
      <sz val="14"/>
      <color rgb="FF000000"/>
      <name val="Tahoma"/>
      <family val="2"/>
    </font>
    <font>
      <b/>
      <sz val="14"/>
      <color rgb="FFFF0000"/>
      <name val="Tahoma"/>
      <family val="2"/>
    </font>
    <font>
      <b/>
      <sz val="14"/>
      <color rgb="FF00B050"/>
      <name val="Tahoma"/>
      <family val="2"/>
    </font>
    <font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9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>
      <alignment vertical="center" wrapText="1"/>
    </xf>
    <xf numFmtId="2" fontId="11" fillId="0" borderId="0">
      <alignment horizontal="center" vertical="center"/>
    </xf>
    <xf numFmtId="0" fontId="13" fillId="0" borderId="5">
      <alignment horizontal="center"/>
    </xf>
    <xf numFmtId="166" fontId="18" fillId="11" borderId="5">
      <alignment horizontal="center" vertical="center" readingOrder="2"/>
    </xf>
  </cellStyleXfs>
  <cellXfs count="70">
    <xf numFmtId="0" fontId="0" fillId="0" borderId="0" xfId="0"/>
    <xf numFmtId="0" fontId="8" fillId="3" borderId="3" xfId="0" applyFont="1" applyFill="1" applyBorder="1" applyAlignment="1">
      <alignment horizontal="center" vertical="center" wrapText="1" readingOrder="2"/>
    </xf>
    <xf numFmtId="0" fontId="10" fillId="5" borderId="4" xfId="0" applyFont="1" applyFill="1" applyBorder="1" applyAlignment="1">
      <alignment horizontal="center" vertical="center" wrapText="1" readingOrder="2"/>
    </xf>
    <xf numFmtId="164" fontId="6" fillId="6" borderId="4" xfId="1" applyNumberFormat="1" applyFont="1" applyFill="1" applyBorder="1" applyAlignment="1">
      <alignment horizontal="center" vertical="center"/>
    </xf>
    <xf numFmtId="165" fontId="6" fillId="6" borderId="4" xfId="1" applyNumberFormat="1" applyFont="1" applyFill="1" applyBorder="1" applyAlignment="1">
      <alignment horizontal="center" vertical="center"/>
    </xf>
    <xf numFmtId="44" fontId="6" fillId="6" borderId="4" xfId="1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2"/>
    </xf>
    <xf numFmtId="0" fontId="12" fillId="0" borderId="6" xfId="0" applyFont="1" applyBorder="1" applyAlignment="1">
      <alignment horizontal="center" vertical="center" wrapText="1"/>
    </xf>
    <xf numFmtId="1" fontId="15" fillId="0" borderId="5" xfId="7" applyNumberFormat="1" applyFont="1" applyBorder="1">
      <alignment horizontal="center" vertical="center"/>
    </xf>
    <xf numFmtId="1" fontId="12" fillId="8" borderId="5" xfId="7" applyNumberFormat="1" applyFont="1" applyFill="1" applyBorder="1" applyAlignment="1">
      <alignment horizontal="center" vertical="center" readingOrder="2"/>
    </xf>
    <xf numFmtId="0" fontId="16" fillId="9" borderId="5" xfId="0" applyFont="1" applyFill="1" applyBorder="1" applyAlignment="1">
      <alignment horizontal="center" vertical="center" readingOrder="2"/>
    </xf>
    <xf numFmtId="0" fontId="12" fillId="0" borderId="5" xfId="1" applyNumberFormat="1" applyFont="1" applyBorder="1" applyAlignment="1">
      <alignment horizontal="center" vertical="center" readingOrder="2"/>
    </xf>
    <xf numFmtId="0" fontId="12" fillId="10" borderId="5" xfId="7" applyNumberFormat="1" applyFont="1" applyFill="1" applyBorder="1" applyAlignment="1">
      <alignment horizontal="center" vertical="center" readingOrder="2"/>
    </xf>
    <xf numFmtId="165" fontId="12" fillId="8" borderId="5" xfId="1" applyNumberFormat="1" applyFont="1" applyFill="1" applyBorder="1" applyAlignment="1">
      <alignment horizontal="center" vertical="center" readingOrder="2"/>
    </xf>
    <xf numFmtId="0" fontId="0" fillId="10" borderId="0" xfId="0" applyFill="1"/>
    <xf numFmtId="1" fontId="19" fillId="11" borderId="5" xfId="7" applyNumberFormat="1" applyFont="1" applyFill="1" applyBorder="1" applyAlignment="1">
      <alignment horizontal="center" vertical="center" wrapText="1" readingOrder="2"/>
    </xf>
    <xf numFmtId="0" fontId="13" fillId="11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1" fontId="12" fillId="0" borderId="5" xfId="7" applyNumberFormat="1" applyFont="1" applyBorder="1" applyAlignment="1">
      <alignment horizontal="center" vertical="center" readingOrder="2"/>
    </xf>
    <xf numFmtId="1" fontId="19" fillId="0" borderId="5" xfId="7" applyNumberFormat="1" applyFont="1" applyBorder="1" applyAlignment="1">
      <alignment horizontal="center" vertical="center" wrapText="1" readingOrder="2"/>
    </xf>
    <xf numFmtId="0" fontId="12" fillId="0" borderId="5" xfId="6" applyNumberFormat="1" applyFont="1" applyBorder="1" applyAlignment="1">
      <alignment horizontal="center" vertical="center" readingOrder="2"/>
    </xf>
    <xf numFmtId="0" fontId="12" fillId="8" borderId="5" xfId="7" applyNumberFormat="1" applyFont="1" applyFill="1" applyBorder="1" applyAlignment="1">
      <alignment horizontal="center" vertical="center" readingOrder="2"/>
    </xf>
    <xf numFmtId="0" fontId="17" fillId="12" borderId="12" xfId="4" applyFont="1" applyFill="1" applyBorder="1" applyAlignment="1">
      <alignment horizontal="center" vertical="center" wrapText="1" readingOrder="2"/>
    </xf>
    <xf numFmtId="1" fontId="12" fillId="0" borderId="5" xfId="7" applyNumberFormat="1" applyFont="1" applyBorder="1">
      <alignment horizontal="center" vertical="center"/>
    </xf>
    <xf numFmtId="0" fontId="12" fillId="12" borderId="12" xfId="4" applyFont="1" applyFill="1" applyBorder="1" applyAlignment="1">
      <alignment horizontal="center" vertical="center" readingOrder="2"/>
    </xf>
    <xf numFmtId="0" fontId="16" fillId="0" borderId="5" xfId="0" applyFont="1" applyBorder="1" applyAlignment="1">
      <alignment horizontal="center" vertical="center" readingOrder="1"/>
    </xf>
    <xf numFmtId="166" fontId="12" fillId="8" borderId="5" xfId="7" applyNumberFormat="1" applyFont="1" applyFill="1" applyBorder="1" applyAlignment="1">
      <alignment horizontal="center" vertical="center" readingOrder="2"/>
    </xf>
    <xf numFmtId="166" fontId="12" fillId="0" borderId="5" xfId="1" applyNumberFormat="1" applyFont="1" applyBorder="1" applyAlignment="1">
      <alignment horizontal="center" vertical="center" readingOrder="2"/>
    </xf>
    <xf numFmtId="166" fontId="17" fillId="0" borderId="5" xfId="1" applyNumberFormat="1" applyFont="1" applyBorder="1" applyAlignment="1">
      <alignment horizontal="center" vertical="center" readingOrder="2"/>
    </xf>
    <xf numFmtId="166" fontId="18" fillId="11" borderId="5" xfId="1" applyNumberFormat="1" applyFont="1" applyFill="1" applyBorder="1" applyAlignment="1">
      <alignment horizontal="center" vertical="center" readingOrder="2"/>
    </xf>
    <xf numFmtId="0" fontId="0" fillId="0" borderId="15" xfId="0" applyBorder="1"/>
    <xf numFmtId="0" fontId="0" fillId="0" borderId="16" xfId="0" applyBorder="1"/>
    <xf numFmtId="167" fontId="9" fillId="4" borderId="0" xfId="0" applyNumberFormat="1" applyFont="1" applyFill="1" applyAlignment="1">
      <alignment horizontal="center" vertical="center" wrapText="1" readingOrder="1"/>
    </xf>
    <xf numFmtId="0" fontId="0" fillId="0" borderId="18" xfId="0" applyBorder="1"/>
    <xf numFmtId="0" fontId="8" fillId="3" borderId="19" xfId="0" applyFont="1" applyFill="1" applyBorder="1" applyAlignment="1">
      <alignment horizontal="center" vertical="center" wrapText="1" readingOrder="2"/>
    </xf>
    <xf numFmtId="0" fontId="6" fillId="2" borderId="0" xfId="5" applyFont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readingOrder="2"/>
    </xf>
    <xf numFmtId="168" fontId="12" fillId="6" borderId="21" xfId="6" applyNumberFormat="1" applyFont="1" applyFill="1" applyBorder="1" applyAlignment="1">
      <alignment horizontal="center" vertical="center" readingOrder="2"/>
    </xf>
    <xf numFmtId="168" fontId="12" fillId="0" borderId="21" xfId="6" applyNumberFormat="1" applyFont="1" applyBorder="1" applyAlignment="1">
      <alignment horizontal="center" vertical="center" readingOrder="2"/>
    </xf>
    <xf numFmtId="0" fontId="12" fillId="10" borderId="22" xfId="4" applyFont="1" applyFill="1" applyBorder="1" applyAlignment="1">
      <alignment vertical="center" readingOrder="2"/>
    </xf>
    <xf numFmtId="14" fontId="12" fillId="10" borderId="23" xfId="4" applyNumberFormat="1" applyFont="1" applyFill="1" applyBorder="1" applyAlignment="1">
      <alignment horizontal="right" vertical="center" readingOrder="2"/>
    </xf>
    <xf numFmtId="0" fontId="12" fillId="10" borderId="23" xfId="4" applyFont="1" applyFill="1" applyBorder="1" applyAlignment="1">
      <alignment horizontal="right" vertical="center" readingOrder="2"/>
    </xf>
    <xf numFmtId="0" fontId="12" fillId="10" borderId="24" xfId="0" applyFont="1" applyFill="1" applyBorder="1" applyAlignment="1">
      <alignment vertical="center" wrapText="1" readingOrder="2"/>
    </xf>
    <xf numFmtId="0" fontId="14" fillId="10" borderId="24" xfId="3" applyFont="1" applyFill="1" applyBorder="1" applyAlignment="1">
      <alignment vertical="center" wrapText="1" readingOrder="2"/>
    </xf>
    <xf numFmtId="0" fontId="14" fillId="10" borderId="24" xfId="3" applyFont="1" applyFill="1" applyBorder="1" applyAlignment="1">
      <alignment wrapText="1" readingOrder="2"/>
    </xf>
    <xf numFmtId="0" fontId="0" fillId="0" borderId="23" xfId="0" applyBorder="1"/>
    <xf numFmtId="0" fontId="0" fillId="0" borderId="25" xfId="0" applyBorder="1"/>
    <xf numFmtId="0" fontId="12" fillId="11" borderId="12" xfId="0" applyFont="1" applyFill="1" applyBorder="1" applyAlignment="1">
      <alignment horizontal="center" vertical="center"/>
    </xf>
    <xf numFmtId="1" fontId="12" fillId="0" borderId="12" xfId="7" applyNumberFormat="1" applyFont="1" applyBorder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6" xfId="0" applyBorder="1"/>
    <xf numFmtId="0" fontId="0" fillId="0" borderId="7" xfId="0" applyBorder="1"/>
    <xf numFmtId="0" fontId="12" fillId="12" borderId="21" xfId="4" applyFont="1" applyFill="1" applyBorder="1" applyAlignment="1">
      <alignment horizontal="center" vertical="center" readingOrder="2"/>
    </xf>
    <xf numFmtId="0" fontId="6" fillId="10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7" fillId="10" borderId="0" xfId="2" applyFont="1" applyFill="1" applyAlignment="1">
      <alignment horizontal="center" vertical="center" readingOrder="2"/>
    </xf>
    <xf numFmtId="0" fontId="0" fillId="0" borderId="0" xfId="0"/>
    <xf numFmtId="0" fontId="12" fillId="2" borderId="13" xfId="5" applyFont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 readingOrder="2"/>
    </xf>
    <xf numFmtId="0" fontId="0" fillId="0" borderId="15" xfId="0" applyBorder="1"/>
    <xf numFmtId="0" fontId="0" fillId="0" borderId="17" xfId="0" applyBorder="1"/>
    <xf numFmtId="0" fontId="5" fillId="0" borderId="15" xfId="2" applyFont="1" applyBorder="1" applyAlignment="1">
      <alignment horizontal="center" vertical="center" readingOrder="2"/>
    </xf>
    <xf numFmtId="0" fontId="12" fillId="8" borderId="5" xfId="1" applyNumberFormat="1" applyFont="1" applyFill="1" applyBorder="1" applyAlignment="1">
      <alignment horizontal="center" vertical="center" readingOrder="2"/>
    </xf>
    <xf numFmtId="0" fontId="0" fillId="0" borderId="8" xfId="0" applyBorder="1"/>
    <xf numFmtId="0" fontId="0" fillId="0" borderId="9" xfId="0" applyBorder="1"/>
    <xf numFmtId="44" fontId="12" fillId="0" borderId="5" xfId="1" applyNumberFormat="1" applyFont="1" applyBorder="1" applyAlignment="1">
      <alignment horizontal="center" vertical="center" readingOrder="2"/>
    </xf>
    <xf numFmtId="0" fontId="2" fillId="10" borderId="15" xfId="2" applyFill="1" applyBorder="1" applyAlignment="1">
      <alignment horizontal="center" vertical="center" readingOrder="2"/>
    </xf>
    <xf numFmtId="0" fontId="6" fillId="10" borderId="20" xfId="0" applyFont="1" applyFill="1" applyBorder="1" applyAlignment="1">
      <alignment horizontal="center" vertical="center" wrapText="1" readingOrder="2"/>
    </xf>
    <xf numFmtId="0" fontId="0" fillId="0" borderId="10" xfId="0" applyBorder="1"/>
  </cellXfs>
  <cellStyles count="10">
    <cellStyle name="40% - Accent6" xfId="5" builtinId="51"/>
    <cellStyle name="Currency" xfId="1" builtinId="4"/>
    <cellStyle name="Heading 2" xfId="3" builtinId="17"/>
    <cellStyle name="Normal" xfId="0" builtinId="0"/>
    <cellStyle name="Style 1" xfId="8" xr:uid="{00000000-0005-0000-0000-000008000000}"/>
    <cellStyle name="Style 2" xfId="9" xr:uid="{00000000-0005-0000-0000-000009000000}"/>
    <cellStyle name="Title" xfId="2" builtinId="15"/>
    <cellStyle name="Total" xfId="4" builtinId="25"/>
    <cellStyle name="التاريخ" xfId="6" xr:uid="{00000000-0005-0000-0000-000006000000}"/>
    <cellStyle name="الساعات" xfId="7" xr:uid="{00000000-0005-0000-0000-000007000000}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0"/>
        <color auto="1"/>
        <name val="Tahoma"/>
        <family val="2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Tahoma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name val="Tahoma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outline val="0"/>
        <shadow val="0"/>
        <vertAlign val="baseline"/>
        <sz val="14"/>
        <name val="Tahoma"/>
      </font>
      <alignment horizontal="center"/>
    </dxf>
    <dxf>
      <font>
        <b/>
        <strike val="0"/>
        <outline val="0"/>
        <shadow val="0"/>
        <vertAlign val="baseline"/>
        <sz val="14"/>
        <name val="Tahoma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بطاقة_الوقت4517" displayName="بطاقة_الوقت4517" ref="B6:I37" headerRowDxfId="12" dataDxfId="11" totalsRowDxfId="10">
  <tableColumns count="8">
    <tableColumn id="2" xr3:uid="{00000000-0010-0000-0000-000002000000}" name="الحضور" dataDxfId="9" dataCellStyle="التاريخ"/>
    <tableColumn id="3" xr3:uid="{00000000-0010-0000-0000-000003000000}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xr3:uid="{00000000-0010-0000-0000-000004000000}" name="ساعات العمل الإضافية " totalsRowFunction="custom" dataDxfId="7" dataCellStyle="الساعات">
      <totalsRowFormula>SUM(D7:D37)</totalsRowFormula>
    </tableColumn>
    <tableColumn id="6" xr3:uid="{00000000-0010-0000-0000-000006000000}" name="ساعات العمل خلال الإجازة" totalsRowFunction="custom" dataDxfId="6" dataCellStyle="الساعات">
      <totalsRowFormula>SUM(E7:E37)</totalsRowFormula>
    </tableColumn>
    <tableColumn id="8" xr3:uid="{00000000-0010-0000-0000-000008000000}" name="ساعات العمل بالمناسبات الرسمية " dataDxfId="5" dataCellStyle="الساعات"/>
    <tableColumn id="5" xr3:uid="{00000000-0010-0000-0000-000005000000}" name="إجازة مرضية" totalsRowFunction="custom" dataDxfId="4" dataCellStyle="الساعات">
      <calculatedColumnFormula>IF(B7="SL","SL","")</calculatedColumnFormula>
      <totalsRowFormula>SUM(G7:G37)</totalsRowFormula>
    </tableColumn>
    <tableColumn id="7" xr3:uid="{00000000-0010-0000-0000-000007000000}" name="المشروع" totalsRowFunction="sum" dataDxfId="3" dataCellStyle="الساعات"/>
    <tableColumn id="9" xr3:uid="{00000000-0010-0000-0000-000009000000}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rightToLeft="1" topLeftCell="C6" workbookViewId="0">
      <selection sqref="A1:XFD1048576"/>
    </sheetView>
  </sheetViews>
  <sheetFormatPr defaultColWidth="8.77734375" defaultRowHeight="14.4" x14ac:dyDescent="0.3"/>
  <cols>
    <col min="1" max="1" width="17.109375" bestFit="1" customWidth="1"/>
    <col min="2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5.5546875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/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0</v>
      </c>
      <c r="P3" s="34"/>
    </row>
    <row r="4" spans="1:16" ht="34.799999999999997" x14ac:dyDescent="0.3">
      <c r="A4" s="35" t="s">
        <v>5</v>
      </c>
      <c r="B4" s="58" t="s">
        <v>6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0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/>
      <c r="B7" s="17"/>
      <c r="C7" s="17"/>
      <c r="D7" s="17"/>
      <c r="E7" s="17"/>
      <c r="F7" s="17"/>
      <c r="G7" s="17"/>
      <c r="H7" s="16"/>
      <c r="I7" s="48">
        <f t="shared" ref="I7:I21" si="0">IFERROR(IF(SUM(C7:G7)&gt;24,"إجمالي &gt; 24 ساعة.",SUM(C7:G7)), "")</f>
        <v>0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/>
      <c r="B8" s="18"/>
      <c r="C8" s="9"/>
      <c r="D8" s="18"/>
      <c r="E8" s="19"/>
      <c r="F8" s="24"/>
      <c r="G8" s="19" t="str">
        <f t="shared" ref="G8:G21" si="1">IF(B8="SL","SL","")</f>
        <v/>
      </c>
      <c r="H8" s="20"/>
      <c r="I8" s="49">
        <f t="shared" si="0"/>
        <v>0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/>
      <c r="B9" s="17"/>
      <c r="C9" s="17"/>
      <c r="D9" s="17"/>
      <c r="E9" s="17"/>
      <c r="F9" s="17"/>
      <c r="G9" s="17" t="str">
        <f t="shared" si="1"/>
        <v/>
      </c>
      <c r="H9" s="16"/>
      <c r="I9" s="48">
        <f t="shared" si="0"/>
        <v>0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/>
      <c r="B10" s="18"/>
      <c r="C10" s="9"/>
      <c r="D10" s="18"/>
      <c r="E10" s="19"/>
      <c r="F10" s="24"/>
      <c r="G10" s="19" t="str">
        <f t="shared" si="1"/>
        <v/>
      </c>
      <c r="H10" s="20"/>
      <c r="I10" s="49">
        <f t="shared" si="0"/>
        <v>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/>
      <c r="B11" s="17"/>
      <c r="C11" s="17"/>
      <c r="D11" s="17"/>
      <c r="E11" s="17"/>
      <c r="F11" s="17"/>
      <c r="G11" s="17" t="str">
        <f t="shared" si="1"/>
        <v/>
      </c>
      <c r="H11" s="16"/>
      <c r="I11" s="48">
        <f t="shared" si="0"/>
        <v>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/>
      <c r="B12" s="18"/>
      <c r="C12" s="9"/>
      <c r="D12" s="18"/>
      <c r="E12" s="19"/>
      <c r="F12" s="24"/>
      <c r="G12" s="19" t="str">
        <f t="shared" si="1"/>
        <v/>
      </c>
      <c r="H12" s="20"/>
      <c r="I12" s="49">
        <f t="shared" si="0"/>
        <v>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/>
      <c r="B13" s="17"/>
      <c r="C13" s="17"/>
      <c r="D13" s="17"/>
      <c r="E13" s="17"/>
      <c r="F13" s="17"/>
      <c r="G13" s="17" t="str">
        <f t="shared" si="1"/>
        <v/>
      </c>
      <c r="H13" s="16"/>
      <c r="I13" s="48">
        <f t="shared" si="0"/>
        <v>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/>
      <c r="B14" s="18"/>
      <c r="C14" s="9"/>
      <c r="D14" s="18"/>
      <c r="E14" s="24"/>
      <c r="F14" s="24"/>
      <c r="G14" s="19" t="str">
        <f t="shared" si="1"/>
        <v/>
      </c>
      <c r="H14" s="20"/>
      <c r="I14" s="49">
        <f t="shared" si="0"/>
        <v>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/>
      <c r="B15" s="17"/>
      <c r="C15" s="17"/>
      <c r="D15" s="17"/>
      <c r="E15" s="17"/>
      <c r="F15" s="17"/>
      <c r="G15" s="17" t="str">
        <f t="shared" si="1"/>
        <v/>
      </c>
      <c r="H15" s="16"/>
      <c r="I15" s="48">
        <f t="shared" si="0"/>
        <v>0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/>
      <c r="B16" s="18"/>
      <c r="C16" s="9"/>
      <c r="D16" s="18"/>
      <c r="E16" s="24"/>
      <c r="F16" s="24"/>
      <c r="G16" s="19" t="str">
        <f t="shared" si="1"/>
        <v/>
      </c>
      <c r="H16" s="20"/>
      <c r="I16" s="49">
        <f t="shared" si="0"/>
        <v>0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/>
      <c r="B17" s="17"/>
      <c r="C17" s="17"/>
      <c r="D17" s="17"/>
      <c r="E17" s="17"/>
      <c r="F17" s="17"/>
      <c r="G17" s="17" t="str">
        <f t="shared" si="1"/>
        <v/>
      </c>
      <c r="H17" s="16"/>
      <c r="I17" s="48">
        <f t="shared" si="0"/>
        <v>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/>
      <c r="B18" s="18"/>
      <c r="C18" s="9"/>
      <c r="D18" s="18"/>
      <c r="E18" s="24"/>
      <c r="F18" s="24"/>
      <c r="G18" s="19" t="str">
        <f t="shared" si="1"/>
        <v/>
      </c>
      <c r="H18" s="20"/>
      <c r="I18" s="49">
        <f t="shared" si="0"/>
        <v>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/>
      <c r="B19" s="17"/>
      <c r="C19" s="17"/>
      <c r="D19" s="17"/>
      <c r="E19" s="17"/>
      <c r="F19" s="17"/>
      <c r="G19" s="17" t="str">
        <f t="shared" si="1"/>
        <v/>
      </c>
      <c r="H19" s="16"/>
      <c r="I19" s="48">
        <f t="shared" si="0"/>
        <v>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/>
      <c r="B20" s="18"/>
      <c r="C20" s="9"/>
      <c r="D20" s="18"/>
      <c r="E20" s="24"/>
      <c r="F20" s="24"/>
      <c r="G20" s="19" t="str">
        <f t="shared" si="1"/>
        <v/>
      </c>
      <c r="H20" s="20"/>
      <c r="I20" s="49">
        <f t="shared" si="0"/>
        <v>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/>
      <c r="B21" s="17"/>
      <c r="C21" s="17"/>
      <c r="D21" s="17"/>
      <c r="E21" s="17"/>
      <c r="F21" s="17"/>
      <c r="G21" s="17" t="str">
        <f t="shared" si="1"/>
        <v/>
      </c>
      <c r="H21" s="16"/>
      <c r="I21" s="48">
        <f t="shared" si="0"/>
        <v>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/>
      <c r="B22" s="18"/>
      <c r="C22" s="9"/>
      <c r="D22" s="18"/>
      <c r="E22" s="24"/>
      <c r="F22" s="24"/>
      <c r="G22" s="19" t="str">
        <f>IF(B21="SL","SL","")</f>
        <v/>
      </c>
      <c r="H22" s="20"/>
      <c r="I22" s="49">
        <f>IFERROR(IF(SUM(C21:G21)&gt;24,"إجمالي &gt; 24 ساعة.",SUM(C21:G21)), "")</f>
        <v>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/>
      <c r="B23" s="17"/>
      <c r="C23" s="17"/>
      <c r="D23" s="17"/>
      <c r="E23" s="17"/>
      <c r="F23" s="17"/>
      <c r="G23" s="17" t="str">
        <f t="shared" ref="G23:G35" si="2">IF(B23="SL","SL","")</f>
        <v/>
      </c>
      <c r="H23" s="16"/>
      <c r="I23" s="48">
        <f t="shared" ref="I23:I37" si="3">IFERROR(IF(SUM(C23:G23)&gt;24,"إجمالي &gt; 24 ساعة.",SUM(C23:G23)), "")</f>
        <v>0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/>
      <c r="B24" s="18"/>
      <c r="C24" s="9"/>
      <c r="D24" s="18"/>
      <c r="E24" s="24"/>
      <c r="F24" s="24"/>
      <c r="G24" s="19" t="str">
        <f t="shared" si="2"/>
        <v/>
      </c>
      <c r="H24" s="20"/>
      <c r="I24" s="49">
        <f t="shared" si="3"/>
        <v>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/>
      <c r="B25" s="17"/>
      <c r="C25" s="17"/>
      <c r="D25" s="17"/>
      <c r="E25" s="17"/>
      <c r="F25" s="17"/>
      <c r="G25" s="17" t="str">
        <f t="shared" si="2"/>
        <v/>
      </c>
      <c r="H25" s="16"/>
      <c r="I25" s="48">
        <f t="shared" si="3"/>
        <v>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/>
      <c r="B26" s="18"/>
      <c r="C26" s="9"/>
      <c r="D26" s="18"/>
      <c r="E26" s="24"/>
      <c r="F26" s="24"/>
      <c r="G26" s="19" t="str">
        <f t="shared" si="2"/>
        <v/>
      </c>
      <c r="H26" s="20"/>
      <c r="I26" s="49">
        <f t="shared" si="3"/>
        <v>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/>
      <c r="B27" s="17"/>
      <c r="C27" s="17"/>
      <c r="D27" s="17"/>
      <c r="E27" s="17"/>
      <c r="F27" s="17"/>
      <c r="G27" s="17" t="str">
        <f t="shared" si="2"/>
        <v/>
      </c>
      <c r="H27" s="16"/>
      <c r="I27" s="48">
        <f t="shared" si="3"/>
        <v>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/>
      <c r="B28" s="18"/>
      <c r="C28" s="9"/>
      <c r="D28" s="18"/>
      <c r="E28" s="24"/>
      <c r="F28" s="24"/>
      <c r="G28" s="19" t="str">
        <f t="shared" si="2"/>
        <v/>
      </c>
      <c r="H28" s="20"/>
      <c r="I28" s="49">
        <f t="shared" si="3"/>
        <v>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/>
      <c r="B29" s="17"/>
      <c r="C29" s="17"/>
      <c r="D29" s="17"/>
      <c r="E29" s="17"/>
      <c r="F29" s="17"/>
      <c r="G29" s="17" t="str">
        <f t="shared" si="2"/>
        <v/>
      </c>
      <c r="H29" s="16"/>
      <c r="I29" s="48">
        <f t="shared" si="3"/>
        <v>0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/>
      <c r="B30" s="18"/>
      <c r="C30" s="9"/>
      <c r="D30" s="18"/>
      <c r="E30" s="24"/>
      <c r="F30" s="24"/>
      <c r="G30" s="19" t="str">
        <f t="shared" si="2"/>
        <v/>
      </c>
      <c r="H30" s="20"/>
      <c r="I30" s="49">
        <f t="shared" si="3"/>
        <v>0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/>
      <c r="B31" s="17"/>
      <c r="C31" s="17"/>
      <c r="D31" s="17"/>
      <c r="E31" s="17"/>
      <c r="F31" s="17"/>
      <c r="G31" s="17" t="str">
        <f t="shared" si="2"/>
        <v/>
      </c>
      <c r="H31" s="16"/>
      <c r="I31" s="48">
        <f t="shared" si="3"/>
        <v>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/>
      <c r="B32" s="18"/>
      <c r="C32" s="9"/>
      <c r="D32" s="18"/>
      <c r="E32" s="24"/>
      <c r="F32" s="24"/>
      <c r="G32" s="19" t="str">
        <f t="shared" si="2"/>
        <v/>
      </c>
      <c r="H32" s="20"/>
      <c r="I32" s="49">
        <f t="shared" si="3"/>
        <v>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/>
      <c r="B33" s="17"/>
      <c r="C33" s="17"/>
      <c r="D33" s="17"/>
      <c r="E33" s="17"/>
      <c r="F33" s="17"/>
      <c r="G33" s="17" t="str">
        <f t="shared" si="2"/>
        <v/>
      </c>
      <c r="H33" s="16"/>
      <c r="I33" s="48">
        <f t="shared" si="3"/>
        <v>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/>
      <c r="B34" s="21"/>
      <c r="C34" s="9"/>
      <c r="D34" s="24"/>
      <c r="E34" s="24"/>
      <c r="F34" s="24"/>
      <c r="G34" s="19" t="str">
        <f t="shared" si="2"/>
        <v/>
      </c>
      <c r="H34" s="20"/>
      <c r="I34" s="49">
        <f t="shared" si="3"/>
        <v>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/>
      <c r="B35" s="17"/>
      <c r="C35" s="17"/>
      <c r="D35" s="17"/>
      <c r="E35" s="17"/>
      <c r="F35" s="17"/>
      <c r="G35" s="17" t="str">
        <f t="shared" si="2"/>
        <v/>
      </c>
      <c r="H35" s="16"/>
      <c r="I35" s="48">
        <f t="shared" si="3"/>
        <v>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/>
      <c r="B36" s="21"/>
      <c r="C36" s="9"/>
      <c r="D36" s="24"/>
      <c r="E36" s="24"/>
      <c r="F36" s="24"/>
      <c r="G36" s="19"/>
      <c r="H36" s="20"/>
      <c r="I36" s="49">
        <f t="shared" si="3"/>
        <v>0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/>
      <c r="B37" s="17"/>
      <c r="C37" s="17"/>
      <c r="D37" s="17"/>
      <c r="E37" s="17"/>
      <c r="F37" s="17"/>
      <c r="G37" s="17"/>
      <c r="H37" s="16"/>
      <c r="I37" s="48">
        <f t="shared" si="3"/>
        <v>0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0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0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conditionalFormatting sqref="B34 B36">
    <cfRule type="expression" dxfId="1" priority="1">
      <formula>$B34="SL"</formula>
    </cfRule>
    <cfRule type="expression" dxfId="0" priority="2">
      <formula>$B34="W"</formula>
    </cfRule>
  </conditionalFormatting>
  <dataValidations disablePrompts="1" count="11">
    <dataValidation type="custom" showInputMessage="1" showErrorMessage="1" sqref="D34:D37" xr:uid="{00000000-0002-0000-0000-000000000000}">
      <formula1>IF($C34&lt;&gt;"",TRUE,FALSE)</formula1>
    </dataValidation>
    <dataValidation showInputMessage="1" showErrorMessage="1" prompt="هذه الخلية مخصصة لعرض مجموع اجر عمل الساعات الاضافية_x000a_" sqref="D42" xr:uid="{00000000-0002-0000-0000-000001000000}"/>
    <dataValidation showInputMessage="1" showErrorMessage="1" prompt="أدخل قيمة الأجر في الساعة في الخلايا إلى اليمين" sqref="A39:A42" xr:uid="{00000000-0002-0000-0000-000002000000}"/>
    <dataValidation showInputMessage="1" showErrorMessage="1" prompt="يتم تحديث التاريخ تلقائياً في هذا العمود أسفل هذا العنوان بناءً على تاريخ انتهاء الأسبوع في الخلية C6" sqref="B6" xr:uid="{00000000-0002-0000-0000-000003000000}"/>
    <dataValidation showInputMessage="1" showErrorMessage="1" prompt="أدخل &quot;ساعات العمل العادية&quot; في هذا العمود أسفل هذا العنوان" sqref="C6" xr:uid="{00000000-0002-0000-0000-000004000000}"/>
    <dataValidation showInputMessage="1" showErrorMessage="1" prompt="أدخل ساعات العمل الإضافي في هذا العمود ضمن هذا العنوان" sqref="D6" xr:uid="{00000000-0002-0000-0000-000005000000}"/>
    <dataValidation showInputMessage="1" showErrorMessage="1" prompt="أدخل ساعات الإجازات المرضية في هذا العمود أسفل هذا العنوان" sqref="G6" xr:uid="{00000000-0002-0000-0000-000006000000}"/>
    <dataValidation showInputMessage="1" showErrorMessage="1" prompt="أدخل &quot;ساعات العطلات&quot; في هذا العمود أسفل هذا العنوان" sqref="E4 E6 H2:H3" xr:uid="{00000000-0002-0000-0000-000007000000}"/>
    <dataValidation showInputMessage="1" showErrorMessage="1" prompt="يتم حساب إجمالي ساعات العمل لكل يوم تلقائياً في هذا العمود أسفل هذا العنوان" sqref="H6:I6" xr:uid="{00000000-0002-0000-0000-000008000000}"/>
    <dataValidation showInputMessage="1" showErrorMessage="1" prompt="يتم حساب إجمالي الساعات للفترة بأكملها تلقائياً في الخلايا إلى اليسار" sqref="A38" xr:uid="{00000000-0002-0000-0000-000009000000}"/>
    <dataValidation showInputMessage="1" showErrorMessage="1" prompt="يتم حساب إجمالي الأجر تلقائياً في الخلايا إلى اليسار" sqref="A42" xr:uid="{00000000-0002-0000-0000-00000A000000}"/>
  </dataValidations>
  <printOptions horizontalCentered="1" verticalCentered="1"/>
  <pageMargins left="0.25" right="0.25" top="0.75" bottom="0.75" header="0.3" footer="0.3"/>
  <pageSetup paperSize="9" scale="52" orientation="portrait" horizontalDpi="429496729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rightToLeft="1" tabSelected="1" topLeftCell="B10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32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112.90322580645162</v>
      </c>
      <c r="P3" s="34"/>
    </row>
    <row r="4" spans="1:16" ht="34.799999999999997" x14ac:dyDescent="0.3">
      <c r="A4" s="35" t="s">
        <v>5</v>
      </c>
      <c r="B4" s="58" t="s">
        <v>33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14.112903225806452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35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39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39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39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37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39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37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39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39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39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40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39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39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40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40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41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37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35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39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40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35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39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40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37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39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40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3500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3500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42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106.45161290322581</v>
      </c>
      <c r="P3" s="34"/>
    </row>
    <row r="4" spans="1:16" ht="34.799999999999997" x14ac:dyDescent="0.3">
      <c r="A4" s="35" t="s">
        <v>5</v>
      </c>
      <c r="B4" s="58" t="s">
        <v>43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13.306451612903226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37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37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37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37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37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37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37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37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37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37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37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37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37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37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37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37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37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37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37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37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37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37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37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37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37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37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37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37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3300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3300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44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77.41935483870968</v>
      </c>
      <c r="P3" s="34"/>
    </row>
    <row r="4" spans="1:16" ht="34.799999999999997" x14ac:dyDescent="0.3">
      <c r="A4" s="35" t="s">
        <v>5</v>
      </c>
      <c r="B4" s="58" t="s">
        <v>45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9.67741935483871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35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46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46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39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39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47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37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48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40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48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39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47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47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47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47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47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47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47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40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48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40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41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40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37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40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39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39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37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37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39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2400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2400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5"/>
  <sheetViews>
    <sheetView rightToLeft="1" tabSelected="1" topLeftCell="A7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49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83.870967741935488</v>
      </c>
      <c r="P3" s="34"/>
    </row>
    <row r="4" spans="1:16" ht="34.799999999999997" x14ac:dyDescent="0.3">
      <c r="A4" s="35" t="s">
        <v>5</v>
      </c>
      <c r="B4" s="58" t="s">
        <v>50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10.483870967741936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37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40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40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48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48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39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39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47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47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48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48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48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48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37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39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39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40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40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40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37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35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40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40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35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47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47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47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47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2600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2600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51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45.161290322580648</v>
      </c>
      <c r="P3" s="34"/>
    </row>
    <row r="4" spans="1:16" ht="34.799999999999997" x14ac:dyDescent="0.3">
      <c r="A4" s="35" t="s">
        <v>5</v>
      </c>
      <c r="B4" s="58" t="s">
        <v>52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5.645161290322581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53</v>
      </c>
      <c r="C7" s="17"/>
      <c r="D7" s="17"/>
      <c r="E7" s="17"/>
      <c r="F7" s="17"/>
      <c r="G7" s="17"/>
      <c r="H7" s="16"/>
      <c r="I7" s="48">
        <f t="shared" ref="I7:I21" si="0">IFERROR(IF(SUM(C7:G7)&gt;24,"إجمالي &gt; 24 ساعة.",SUM(C7:G7)), "")</f>
        <v>0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39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39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39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48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39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47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47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41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47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48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48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47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48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48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232</v>
      </c>
      <c r="D38" s="22">
        <f>IFERROR(SUM(D7:D37), "")</f>
        <v>44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29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2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90.322580645161295</v>
      </c>
      <c r="D41" s="12"/>
      <c r="E41" s="12"/>
      <c r="F41" s="13"/>
      <c r="G41" s="25" t="s">
        <v>26</v>
      </c>
      <c r="H41" s="28">
        <f>SUM(C41+H40)</f>
        <v>90.322580645161295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1309.6774193548388</v>
      </c>
      <c r="D42" s="14">
        <f>IFERROR(I2/248*1.25*D38, "")</f>
        <v>310.48387096774195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1620.1612903225807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45"/>
  <sheetViews>
    <sheetView rightToLeft="1" tabSelected="1" topLeftCell="A29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54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41.935483870967744</v>
      </c>
      <c r="P3" s="34"/>
    </row>
    <row r="4" spans="1:16" ht="34.799999999999997" x14ac:dyDescent="0.3">
      <c r="A4" s="35" t="s">
        <v>5</v>
      </c>
      <c r="B4" s="58" t="s">
        <v>55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5.241935483870968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53</v>
      </c>
      <c r="C7" s="17"/>
      <c r="D7" s="17"/>
      <c r="E7" s="17"/>
      <c r="F7" s="17"/>
      <c r="G7" s="17"/>
      <c r="H7" s="16"/>
      <c r="I7" s="48">
        <f t="shared" ref="I7:I21" si="0">IFERROR(IF(SUM(C7:G7)&gt;24,"إجمالي &gt; 24 ساعة.",SUM(C7:G7)), "")</f>
        <v>0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48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39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40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40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40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47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47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41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41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41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47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41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41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47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232</v>
      </c>
      <c r="D38" s="22">
        <f>IFERROR(SUM(D7:D37), "")</f>
        <v>44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29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2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83.870967741935488</v>
      </c>
      <c r="D41" s="12"/>
      <c r="E41" s="12"/>
      <c r="F41" s="13"/>
      <c r="G41" s="25" t="s">
        <v>26</v>
      </c>
      <c r="H41" s="28">
        <f>SUM(C41+H40)</f>
        <v>83.870967741935488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1216.1290322580646</v>
      </c>
      <c r="D42" s="14">
        <f>IFERROR(I2/248*1.25*D38, "")</f>
        <v>288.30645161290323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1504.4354838709678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56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48.387096774193552</v>
      </c>
      <c r="P3" s="34"/>
    </row>
    <row r="4" spans="1:16" ht="34.799999999999997" x14ac:dyDescent="0.3">
      <c r="A4" s="35" t="s">
        <v>5</v>
      </c>
      <c r="B4" s="58" t="s">
        <v>57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6.0483870967741939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48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48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48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48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48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48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48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48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48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48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48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48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48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48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48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48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48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48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48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48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48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48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48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48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48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48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48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48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48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48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48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1500</v>
      </c>
      <c r="D42" s="14">
        <f>IFERROR(I2/248*1.25*D38, "")</f>
        <v>340.22177419354841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1840.2217741935483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5.5546875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54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41.935483870967744</v>
      </c>
      <c r="P3" s="34"/>
    </row>
    <row r="4" spans="1:16" ht="34.799999999999997" x14ac:dyDescent="0.3">
      <c r="A4" s="35" t="s">
        <v>5</v>
      </c>
      <c r="B4" s="58" t="s">
        <v>58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5.241935483870968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59</v>
      </c>
      <c r="C7" s="17"/>
      <c r="D7" s="17"/>
      <c r="E7" s="17"/>
      <c r="F7" s="17"/>
      <c r="G7" s="17"/>
      <c r="H7" s="16"/>
      <c r="I7" s="48">
        <f t="shared" ref="I7:I21" si="0">IFERROR(IF(SUM(C7:G7)&gt;24,"إجمالي &gt; 24 ساعة.",SUM(C7:G7)), "")</f>
        <v>0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59</v>
      </c>
      <c r="C8" s="9"/>
      <c r="D8" s="18"/>
      <c r="E8" s="19"/>
      <c r="F8" s="24"/>
      <c r="G8" s="19" t="str">
        <f t="shared" ref="G8:G21" si="1">IF(B8="SL","SL","")</f>
        <v/>
      </c>
      <c r="H8" s="20"/>
      <c r="I8" s="49">
        <f t="shared" si="0"/>
        <v>0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59</v>
      </c>
      <c r="C9" s="17"/>
      <c r="D9" s="17"/>
      <c r="E9" s="17"/>
      <c r="F9" s="17"/>
      <c r="G9" s="17" t="str">
        <f t="shared" si="1"/>
        <v/>
      </c>
      <c r="H9" s="16"/>
      <c r="I9" s="48">
        <f t="shared" si="0"/>
        <v>0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59</v>
      </c>
      <c r="C10" s="9"/>
      <c r="D10" s="18"/>
      <c r="E10" s="19"/>
      <c r="F10" s="24"/>
      <c r="G10" s="19" t="str">
        <f t="shared" si="1"/>
        <v/>
      </c>
      <c r="H10" s="20"/>
      <c r="I10" s="49">
        <f t="shared" si="0"/>
        <v>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59</v>
      </c>
      <c r="C11" s="17"/>
      <c r="D11" s="17"/>
      <c r="E11" s="17"/>
      <c r="F11" s="17"/>
      <c r="G11" s="17" t="str">
        <f t="shared" si="1"/>
        <v/>
      </c>
      <c r="H11" s="16"/>
      <c r="I11" s="48">
        <f t="shared" si="0"/>
        <v>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59</v>
      </c>
      <c r="C12" s="9"/>
      <c r="D12" s="18"/>
      <c r="E12" s="19"/>
      <c r="F12" s="24"/>
      <c r="G12" s="19" t="str">
        <f t="shared" si="1"/>
        <v/>
      </c>
      <c r="H12" s="20"/>
      <c r="I12" s="49">
        <f t="shared" si="0"/>
        <v>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59</v>
      </c>
      <c r="C13" s="17"/>
      <c r="D13" s="17"/>
      <c r="E13" s="17"/>
      <c r="F13" s="17"/>
      <c r="G13" s="17" t="str">
        <f t="shared" si="1"/>
        <v/>
      </c>
      <c r="H13" s="16"/>
      <c r="I13" s="48">
        <f t="shared" si="0"/>
        <v>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/>
      <c r="B14" s="18"/>
      <c r="C14" s="9"/>
      <c r="D14" s="18"/>
      <c r="E14" s="24"/>
      <c r="F14" s="24"/>
      <c r="G14" s="19" t="str">
        <f t="shared" si="1"/>
        <v/>
      </c>
      <c r="H14" s="20"/>
      <c r="I14" s="49">
        <f t="shared" si="0"/>
        <v>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/>
      <c r="B15" s="17"/>
      <c r="C15" s="17"/>
      <c r="D15" s="17"/>
      <c r="E15" s="17"/>
      <c r="F15" s="17"/>
      <c r="G15" s="17" t="str">
        <f t="shared" si="1"/>
        <v/>
      </c>
      <c r="H15" s="16"/>
      <c r="I15" s="48">
        <f t="shared" si="0"/>
        <v>0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/>
      <c r="B16" s="18"/>
      <c r="C16" s="9"/>
      <c r="D16" s="18"/>
      <c r="E16" s="24"/>
      <c r="F16" s="24"/>
      <c r="G16" s="19" t="str">
        <f t="shared" si="1"/>
        <v/>
      </c>
      <c r="H16" s="20"/>
      <c r="I16" s="49">
        <f t="shared" si="0"/>
        <v>0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/>
      <c r="B17" s="17"/>
      <c r="C17" s="17"/>
      <c r="D17" s="17"/>
      <c r="E17" s="17"/>
      <c r="F17" s="17"/>
      <c r="G17" s="17" t="str">
        <f t="shared" si="1"/>
        <v/>
      </c>
      <c r="H17" s="16"/>
      <c r="I17" s="48">
        <f t="shared" si="0"/>
        <v>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/>
      <c r="B18" s="18"/>
      <c r="C18" s="9"/>
      <c r="D18" s="18"/>
      <c r="E18" s="24"/>
      <c r="F18" s="24"/>
      <c r="G18" s="19" t="str">
        <f t="shared" si="1"/>
        <v/>
      </c>
      <c r="H18" s="20"/>
      <c r="I18" s="49">
        <f t="shared" si="0"/>
        <v>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/>
      <c r="B19" s="17"/>
      <c r="C19" s="17"/>
      <c r="D19" s="17"/>
      <c r="E19" s="17"/>
      <c r="F19" s="17"/>
      <c r="G19" s="17" t="str">
        <f t="shared" si="1"/>
        <v/>
      </c>
      <c r="H19" s="16"/>
      <c r="I19" s="48">
        <f t="shared" si="0"/>
        <v>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/>
      <c r="B20" s="18"/>
      <c r="C20" s="9"/>
      <c r="D20" s="18"/>
      <c r="E20" s="24"/>
      <c r="F20" s="24"/>
      <c r="G20" s="19" t="str">
        <f t="shared" si="1"/>
        <v/>
      </c>
      <c r="H20" s="20"/>
      <c r="I20" s="49">
        <f t="shared" si="0"/>
        <v>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/>
      <c r="B21" s="17"/>
      <c r="C21" s="17"/>
      <c r="D21" s="17"/>
      <c r="E21" s="17"/>
      <c r="F21" s="17"/>
      <c r="G21" s="17" t="str">
        <f t="shared" si="1"/>
        <v/>
      </c>
      <c r="H21" s="16"/>
      <c r="I21" s="48">
        <f t="shared" si="0"/>
        <v>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/>
      <c r="B22" s="18"/>
      <c r="C22" s="9"/>
      <c r="D22" s="18"/>
      <c r="E22" s="24"/>
      <c r="F22" s="24"/>
      <c r="G22" s="19" t="str">
        <f>IF(B21="SL","SL","")</f>
        <v/>
      </c>
      <c r="H22" s="20"/>
      <c r="I22" s="49">
        <f>IFERROR(IF(SUM(C21:G21)&gt;24,"إجمالي &gt; 24 ساعة.",SUM(C21:G21)), "")</f>
        <v>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/>
      <c r="B23" s="17"/>
      <c r="C23" s="17"/>
      <c r="D23" s="17"/>
      <c r="E23" s="17"/>
      <c r="F23" s="17"/>
      <c r="G23" s="17" t="str">
        <f t="shared" ref="G23:G35" si="2">IF(B23="SL","SL","")</f>
        <v/>
      </c>
      <c r="H23" s="16"/>
      <c r="I23" s="48">
        <f t="shared" ref="I23:I37" si="3">IFERROR(IF(SUM(C23:G23)&gt;24,"إجمالي &gt; 24 ساعة.",SUM(C23:G23)), "")</f>
        <v>0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/>
      <c r="B24" s="18"/>
      <c r="C24" s="9"/>
      <c r="D24" s="18"/>
      <c r="E24" s="24"/>
      <c r="F24" s="24"/>
      <c r="G24" s="19" t="str">
        <f t="shared" si="2"/>
        <v/>
      </c>
      <c r="H24" s="20"/>
      <c r="I24" s="49">
        <f t="shared" si="3"/>
        <v>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/>
      <c r="B25" s="17"/>
      <c r="C25" s="17"/>
      <c r="D25" s="17"/>
      <c r="E25" s="17"/>
      <c r="F25" s="17"/>
      <c r="G25" s="17" t="str">
        <f t="shared" si="2"/>
        <v/>
      </c>
      <c r="H25" s="16"/>
      <c r="I25" s="48">
        <f t="shared" si="3"/>
        <v>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/>
      <c r="B26" s="18"/>
      <c r="C26" s="9"/>
      <c r="D26" s="18"/>
      <c r="E26" s="24"/>
      <c r="F26" s="24"/>
      <c r="G26" s="19" t="str">
        <f t="shared" si="2"/>
        <v/>
      </c>
      <c r="H26" s="20"/>
      <c r="I26" s="49">
        <f t="shared" si="3"/>
        <v>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/>
      <c r="B27" s="17"/>
      <c r="C27" s="17"/>
      <c r="D27" s="17"/>
      <c r="E27" s="17"/>
      <c r="F27" s="17"/>
      <c r="G27" s="17" t="str">
        <f t="shared" si="2"/>
        <v/>
      </c>
      <c r="H27" s="16"/>
      <c r="I27" s="48">
        <f t="shared" si="3"/>
        <v>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/>
      <c r="B28" s="18"/>
      <c r="C28" s="9"/>
      <c r="D28" s="18"/>
      <c r="E28" s="24"/>
      <c r="F28" s="24"/>
      <c r="G28" s="19" t="str">
        <f t="shared" si="2"/>
        <v/>
      </c>
      <c r="H28" s="20"/>
      <c r="I28" s="49">
        <f t="shared" si="3"/>
        <v>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/>
      <c r="B29" s="17"/>
      <c r="C29" s="17"/>
      <c r="D29" s="17"/>
      <c r="E29" s="17"/>
      <c r="F29" s="17"/>
      <c r="G29" s="17" t="str">
        <f t="shared" si="2"/>
        <v/>
      </c>
      <c r="H29" s="16"/>
      <c r="I29" s="48">
        <f t="shared" si="3"/>
        <v>0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/>
      <c r="B30" s="18"/>
      <c r="C30" s="9"/>
      <c r="D30" s="18"/>
      <c r="E30" s="24"/>
      <c r="F30" s="24"/>
      <c r="G30" s="19" t="str">
        <f t="shared" si="2"/>
        <v/>
      </c>
      <c r="H30" s="20"/>
      <c r="I30" s="49">
        <f t="shared" si="3"/>
        <v>0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/>
      <c r="B31" s="17"/>
      <c r="C31" s="17"/>
      <c r="D31" s="17"/>
      <c r="E31" s="17"/>
      <c r="F31" s="17"/>
      <c r="G31" s="17" t="str">
        <f t="shared" si="2"/>
        <v/>
      </c>
      <c r="H31" s="16"/>
      <c r="I31" s="48">
        <f t="shared" si="3"/>
        <v>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/>
      <c r="B32" s="18"/>
      <c r="C32" s="9"/>
      <c r="D32" s="18"/>
      <c r="E32" s="24"/>
      <c r="F32" s="24"/>
      <c r="G32" s="19" t="str">
        <f t="shared" si="2"/>
        <v/>
      </c>
      <c r="H32" s="20"/>
      <c r="I32" s="49">
        <f t="shared" si="3"/>
        <v>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/>
      <c r="B33" s="17"/>
      <c r="C33" s="17"/>
      <c r="D33" s="17"/>
      <c r="E33" s="17"/>
      <c r="F33" s="17"/>
      <c r="G33" s="17" t="str">
        <f t="shared" si="2"/>
        <v/>
      </c>
      <c r="H33" s="16"/>
      <c r="I33" s="48">
        <f t="shared" si="3"/>
        <v>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/>
      <c r="B34" s="21"/>
      <c r="C34" s="9"/>
      <c r="D34" s="24"/>
      <c r="E34" s="24"/>
      <c r="F34" s="24"/>
      <c r="G34" s="19" t="str">
        <f t="shared" si="2"/>
        <v/>
      </c>
      <c r="H34" s="20"/>
      <c r="I34" s="49">
        <f t="shared" si="3"/>
        <v>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/>
      <c r="B35" s="17"/>
      <c r="C35" s="17"/>
      <c r="D35" s="17"/>
      <c r="E35" s="17"/>
      <c r="F35" s="17"/>
      <c r="G35" s="17" t="str">
        <f t="shared" si="2"/>
        <v/>
      </c>
      <c r="H35" s="16"/>
      <c r="I35" s="48">
        <f t="shared" si="3"/>
        <v>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/>
      <c r="B36" s="21"/>
      <c r="C36" s="9"/>
      <c r="D36" s="24"/>
      <c r="E36" s="24"/>
      <c r="F36" s="24"/>
      <c r="G36" s="19"/>
      <c r="H36" s="20"/>
      <c r="I36" s="49">
        <f t="shared" si="3"/>
        <v>0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/>
      <c r="B37" s="17"/>
      <c r="C37" s="17"/>
      <c r="D37" s="17"/>
      <c r="E37" s="17"/>
      <c r="F37" s="17"/>
      <c r="G37" s="17"/>
      <c r="H37" s="16"/>
      <c r="I37" s="48">
        <f t="shared" si="3"/>
        <v>0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0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0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45"/>
  <sheetViews>
    <sheetView rightToLeft="1" tabSelected="1" topLeftCell="A7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5" width="16.21875" bestFit="1" customWidth="1"/>
    <col min="6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60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35.483870967741936</v>
      </c>
      <c r="P3" s="34"/>
    </row>
    <row r="4" spans="1:16" ht="34.799999999999997" x14ac:dyDescent="0.3">
      <c r="A4" s="35" t="s">
        <v>5</v>
      </c>
      <c r="B4" s="58" t="s">
        <v>61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4.435483870967742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35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39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39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39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6</v>
      </c>
      <c r="E13" s="17"/>
      <c r="F13" s="17"/>
      <c r="G13" s="17" t="str">
        <f t="shared" si="1"/>
        <v/>
      </c>
      <c r="H13" s="16" t="s">
        <v>41</v>
      </c>
      <c r="I13" s="48">
        <f t="shared" si="0"/>
        <v>14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39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39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39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39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39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39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39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40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40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39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39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>
        <v>4</v>
      </c>
      <c r="F30" s="24"/>
      <c r="G30" s="19" t="str">
        <f t="shared" si="2"/>
        <v/>
      </c>
      <c r="H30" s="20" t="s">
        <v>39</v>
      </c>
      <c r="I30" s="49">
        <f t="shared" si="3"/>
        <v>12</v>
      </c>
      <c r="J30" s="50" t="s">
        <v>62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39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39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39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39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39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39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39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49</v>
      </c>
      <c r="E38" s="22">
        <f>IFERROR(SUM(E7:E37), "")</f>
        <v>4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1100</v>
      </c>
      <c r="D42" s="14">
        <f>IFERROR(I2/248*1.25*D38, "")</f>
        <v>271.67338709677421</v>
      </c>
      <c r="E42" s="14">
        <f>IFERROR(I2/248*1.5*E38, "")</f>
        <v>26.612903225806452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1398.2862903225805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63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38.70967741935484</v>
      </c>
      <c r="P3" s="34"/>
    </row>
    <row r="4" spans="1:16" ht="34.799999999999997" x14ac:dyDescent="0.3">
      <c r="A4" s="35" t="s">
        <v>5</v>
      </c>
      <c r="B4" s="58" t="s">
        <v>64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4.838709677419355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39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35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35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39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39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41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41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39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41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39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41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39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39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39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40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40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40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37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35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40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40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35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39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40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40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39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40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43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1200</v>
      </c>
      <c r="D42" s="14">
        <f>IFERROR(I2/248*1.25*D38, "")</f>
        <v>260.08064516129036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1460.0806451612902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5.5546875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65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32.258064516129032</v>
      </c>
      <c r="P3" s="34"/>
    </row>
    <row r="4" spans="1:16" ht="34.799999999999997" x14ac:dyDescent="0.3">
      <c r="A4" s="35" t="s">
        <v>5</v>
      </c>
      <c r="B4" s="58" t="s">
        <v>66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4.032258064516129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59</v>
      </c>
      <c r="C7" s="17"/>
      <c r="D7" s="17"/>
      <c r="E7" s="17"/>
      <c r="F7" s="17"/>
      <c r="G7" s="17"/>
      <c r="H7" s="16"/>
      <c r="I7" s="48">
        <f t="shared" ref="I7:I21" si="0">IFERROR(IF(SUM(C7:G7)&gt;24,"إجمالي &gt; 24 ساعة.",SUM(C7:G7)), "")</f>
        <v>0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59</v>
      </c>
      <c r="C8" s="9"/>
      <c r="D8" s="18"/>
      <c r="E8" s="19"/>
      <c r="F8" s="24"/>
      <c r="G8" s="19" t="str">
        <f t="shared" ref="G8:G21" si="1">IF(B8="SL","SL","")</f>
        <v/>
      </c>
      <c r="H8" s="20"/>
      <c r="I8" s="49">
        <f t="shared" si="0"/>
        <v>0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59</v>
      </c>
      <c r="C9" s="17"/>
      <c r="D9" s="17"/>
      <c r="E9" s="17"/>
      <c r="F9" s="17"/>
      <c r="G9" s="17" t="str">
        <f t="shared" si="1"/>
        <v/>
      </c>
      <c r="H9" s="16"/>
      <c r="I9" s="48">
        <f t="shared" si="0"/>
        <v>0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59</v>
      </c>
      <c r="C10" s="9"/>
      <c r="D10" s="18"/>
      <c r="E10" s="19"/>
      <c r="F10" s="24"/>
      <c r="G10" s="19" t="str">
        <f t="shared" si="1"/>
        <v/>
      </c>
      <c r="H10" s="20"/>
      <c r="I10" s="49">
        <f t="shared" si="0"/>
        <v>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59</v>
      </c>
      <c r="C11" s="17"/>
      <c r="D11" s="17"/>
      <c r="E11" s="17"/>
      <c r="F11" s="17"/>
      <c r="G11" s="17" t="str">
        <f t="shared" si="1"/>
        <v/>
      </c>
      <c r="H11" s="16"/>
      <c r="I11" s="48">
        <f t="shared" si="0"/>
        <v>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59</v>
      </c>
      <c r="C12" s="9"/>
      <c r="D12" s="18"/>
      <c r="E12" s="19"/>
      <c r="F12" s="24"/>
      <c r="G12" s="19" t="str">
        <f t="shared" si="1"/>
        <v/>
      </c>
      <c r="H12" s="20"/>
      <c r="I12" s="49">
        <f t="shared" si="0"/>
        <v>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59</v>
      </c>
      <c r="C13" s="17"/>
      <c r="D13" s="17"/>
      <c r="E13" s="17"/>
      <c r="F13" s="17"/>
      <c r="G13" s="17" t="str">
        <f t="shared" si="1"/>
        <v/>
      </c>
      <c r="H13" s="16"/>
      <c r="I13" s="48">
        <f t="shared" si="0"/>
        <v>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59</v>
      </c>
      <c r="C14" s="9"/>
      <c r="D14" s="18"/>
      <c r="E14" s="24"/>
      <c r="F14" s="24"/>
      <c r="G14" s="19" t="str">
        <f t="shared" si="1"/>
        <v/>
      </c>
      <c r="H14" s="20"/>
      <c r="I14" s="49">
        <f t="shared" si="0"/>
        <v>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59</v>
      </c>
      <c r="C15" s="17"/>
      <c r="D15" s="17"/>
      <c r="E15" s="17"/>
      <c r="F15" s="17"/>
      <c r="G15" s="17" t="str">
        <f t="shared" si="1"/>
        <v/>
      </c>
      <c r="H15" s="16"/>
      <c r="I15" s="48">
        <f t="shared" si="0"/>
        <v>0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59</v>
      </c>
      <c r="C16" s="9"/>
      <c r="D16" s="18"/>
      <c r="E16" s="24"/>
      <c r="F16" s="24"/>
      <c r="G16" s="19" t="str">
        <f t="shared" si="1"/>
        <v/>
      </c>
      <c r="H16" s="20"/>
      <c r="I16" s="49">
        <f t="shared" si="0"/>
        <v>0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59</v>
      </c>
      <c r="C17" s="17"/>
      <c r="D17" s="17"/>
      <c r="E17" s="17"/>
      <c r="F17" s="17"/>
      <c r="G17" s="17" t="str">
        <f t="shared" si="1"/>
        <v/>
      </c>
      <c r="H17" s="16"/>
      <c r="I17" s="48">
        <f t="shared" si="0"/>
        <v>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59</v>
      </c>
      <c r="C18" s="9"/>
      <c r="D18" s="18"/>
      <c r="E18" s="24"/>
      <c r="F18" s="24"/>
      <c r="G18" s="19" t="str">
        <f t="shared" si="1"/>
        <v/>
      </c>
      <c r="H18" s="20"/>
      <c r="I18" s="49">
        <f t="shared" si="0"/>
        <v>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59</v>
      </c>
      <c r="C19" s="17"/>
      <c r="D19" s="17"/>
      <c r="E19" s="17"/>
      <c r="F19" s="17"/>
      <c r="G19" s="17" t="str">
        <f t="shared" si="1"/>
        <v/>
      </c>
      <c r="H19" s="16"/>
      <c r="I19" s="48">
        <f t="shared" si="0"/>
        <v>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59</v>
      </c>
      <c r="C20" s="9"/>
      <c r="D20" s="18"/>
      <c r="E20" s="24"/>
      <c r="F20" s="24"/>
      <c r="G20" s="19" t="str">
        <f t="shared" si="1"/>
        <v/>
      </c>
      <c r="H20" s="20"/>
      <c r="I20" s="49">
        <f t="shared" si="0"/>
        <v>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59</v>
      </c>
      <c r="C21" s="17"/>
      <c r="D21" s="17"/>
      <c r="E21" s="17"/>
      <c r="F21" s="17"/>
      <c r="G21" s="17" t="str">
        <f t="shared" si="1"/>
        <v/>
      </c>
      <c r="H21" s="16"/>
      <c r="I21" s="48">
        <f t="shared" si="0"/>
        <v>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59</v>
      </c>
      <c r="C22" s="9"/>
      <c r="D22" s="18"/>
      <c r="E22" s="24"/>
      <c r="F22" s="24"/>
      <c r="G22" s="19" t="str">
        <f>IF(B21="SL","SL","")</f>
        <v/>
      </c>
      <c r="H22" s="20"/>
      <c r="I22" s="49">
        <f>IFERROR(IF(SUM(C21:G21)&gt;24,"إجمالي &gt; 24 ساعة.",SUM(C21:G21)), "")</f>
        <v>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59</v>
      </c>
      <c r="C23" s="17"/>
      <c r="D23" s="17"/>
      <c r="E23" s="17"/>
      <c r="F23" s="17"/>
      <c r="G23" s="17" t="str">
        <f t="shared" ref="G23:G35" si="2">IF(B23="SL","SL","")</f>
        <v/>
      </c>
      <c r="H23" s="16"/>
      <c r="I23" s="48">
        <f t="shared" ref="I23:I37" si="3">IFERROR(IF(SUM(C23:G23)&gt;24,"إجمالي &gt; 24 ساعة.",SUM(C23:G23)), "")</f>
        <v>0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59</v>
      </c>
      <c r="C24" s="9"/>
      <c r="D24" s="18"/>
      <c r="E24" s="24"/>
      <c r="F24" s="24"/>
      <c r="G24" s="19" t="str">
        <f t="shared" si="2"/>
        <v/>
      </c>
      <c r="H24" s="20"/>
      <c r="I24" s="49">
        <f t="shared" si="3"/>
        <v>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59</v>
      </c>
      <c r="C25" s="17"/>
      <c r="D25" s="17"/>
      <c r="E25" s="17"/>
      <c r="F25" s="17"/>
      <c r="G25" s="17" t="str">
        <f t="shared" si="2"/>
        <v/>
      </c>
      <c r="H25" s="16"/>
      <c r="I25" s="48">
        <f t="shared" si="3"/>
        <v>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59</v>
      </c>
      <c r="C26" s="9"/>
      <c r="D26" s="18"/>
      <c r="E26" s="24"/>
      <c r="F26" s="24"/>
      <c r="G26" s="19" t="str">
        <f t="shared" si="2"/>
        <v/>
      </c>
      <c r="H26" s="20"/>
      <c r="I26" s="49">
        <f t="shared" si="3"/>
        <v>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59</v>
      </c>
      <c r="C27" s="17"/>
      <c r="D27" s="17"/>
      <c r="E27" s="17"/>
      <c r="F27" s="17"/>
      <c r="G27" s="17" t="str">
        <f t="shared" si="2"/>
        <v/>
      </c>
      <c r="H27" s="16"/>
      <c r="I27" s="48">
        <f t="shared" si="3"/>
        <v>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59</v>
      </c>
      <c r="C28" s="9"/>
      <c r="D28" s="18"/>
      <c r="E28" s="24"/>
      <c r="F28" s="24"/>
      <c r="G28" s="19" t="str">
        <f t="shared" si="2"/>
        <v/>
      </c>
      <c r="H28" s="20"/>
      <c r="I28" s="49">
        <f t="shared" si="3"/>
        <v>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59</v>
      </c>
      <c r="C29" s="17"/>
      <c r="D29" s="17"/>
      <c r="E29" s="17"/>
      <c r="F29" s="17"/>
      <c r="G29" s="17" t="str">
        <f t="shared" si="2"/>
        <v/>
      </c>
      <c r="H29" s="16"/>
      <c r="I29" s="48">
        <f t="shared" si="3"/>
        <v>0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59</v>
      </c>
      <c r="C30" s="9"/>
      <c r="D30" s="18"/>
      <c r="E30" s="24"/>
      <c r="F30" s="24"/>
      <c r="G30" s="19" t="str">
        <f t="shared" si="2"/>
        <v/>
      </c>
      <c r="H30" s="20"/>
      <c r="I30" s="49">
        <f t="shared" si="3"/>
        <v>0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59</v>
      </c>
      <c r="C31" s="17"/>
      <c r="D31" s="17"/>
      <c r="E31" s="17"/>
      <c r="F31" s="17"/>
      <c r="G31" s="17" t="str">
        <f t="shared" si="2"/>
        <v/>
      </c>
      <c r="H31" s="16"/>
      <c r="I31" s="48">
        <f t="shared" si="3"/>
        <v>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59</v>
      </c>
      <c r="C32" s="9"/>
      <c r="D32" s="18"/>
      <c r="E32" s="24"/>
      <c r="F32" s="24"/>
      <c r="G32" s="19" t="str">
        <f t="shared" si="2"/>
        <v/>
      </c>
      <c r="H32" s="20"/>
      <c r="I32" s="49">
        <f t="shared" si="3"/>
        <v>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59</v>
      </c>
      <c r="C33" s="17"/>
      <c r="D33" s="17"/>
      <c r="E33" s="17"/>
      <c r="F33" s="17"/>
      <c r="G33" s="17" t="str">
        <f t="shared" si="2"/>
        <v/>
      </c>
      <c r="H33" s="16"/>
      <c r="I33" s="48">
        <f t="shared" si="3"/>
        <v>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59</v>
      </c>
      <c r="C34" s="9"/>
      <c r="D34" s="24"/>
      <c r="E34" s="24"/>
      <c r="F34" s="24"/>
      <c r="G34" s="19" t="str">
        <f t="shared" si="2"/>
        <v/>
      </c>
      <c r="H34" s="20"/>
      <c r="I34" s="49">
        <f t="shared" si="3"/>
        <v>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59</v>
      </c>
      <c r="C35" s="17"/>
      <c r="D35" s="17"/>
      <c r="E35" s="17"/>
      <c r="F35" s="17"/>
      <c r="G35" s="17" t="str">
        <f t="shared" si="2"/>
        <v/>
      </c>
      <c r="H35" s="16"/>
      <c r="I35" s="48">
        <f t="shared" si="3"/>
        <v>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/>
      <c r="B36" s="21"/>
      <c r="C36" s="9"/>
      <c r="D36" s="24"/>
      <c r="E36" s="24"/>
      <c r="F36" s="24"/>
      <c r="G36" s="19"/>
      <c r="H36" s="20"/>
      <c r="I36" s="49">
        <f t="shared" si="3"/>
        <v>0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/>
      <c r="B37" s="17"/>
      <c r="C37" s="17"/>
      <c r="D37" s="17"/>
      <c r="E37" s="17"/>
      <c r="F37" s="17"/>
      <c r="G37" s="17"/>
      <c r="H37" s="16"/>
      <c r="I37" s="48">
        <f t="shared" si="3"/>
        <v>0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0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0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67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96.774193548387103</v>
      </c>
      <c r="P3" s="34"/>
    </row>
    <row r="4" spans="1:16" ht="34.799999999999997" x14ac:dyDescent="0.3">
      <c r="A4" s="35" t="s">
        <v>5</v>
      </c>
      <c r="B4" s="58" t="s">
        <v>68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12.096774193548388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47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47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47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47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47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47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47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47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47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47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47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47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47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47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47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47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48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47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48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47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48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47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47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47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47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47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48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3000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3000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45"/>
  <sheetViews>
    <sheetView rightToLeft="1" tabSelected="1" topLeftCell="B3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3.1093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69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145.16129032258064</v>
      </c>
      <c r="P3" s="34"/>
    </row>
    <row r="4" spans="1:16" ht="34.799999999999997" x14ac:dyDescent="0.3">
      <c r="A4" s="35" t="s">
        <v>5</v>
      </c>
      <c r="B4" s="58" t="s">
        <v>70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18.14516129032258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36</v>
      </c>
      <c r="C7" s="17">
        <v>8</v>
      </c>
      <c r="D7" s="17"/>
      <c r="E7" s="17"/>
      <c r="F7" s="17"/>
      <c r="G7" s="17"/>
      <c r="H7" s="16" t="s">
        <v>71</v>
      </c>
      <c r="I7" s="48">
        <f t="shared" ref="I7:I21" si="0">IFERROR(IF(SUM(C7:G7)&gt;24,"إجمالي &gt; 24 ساعة.",SUM(C7:G7)), "")</f>
        <v>8</v>
      </c>
      <c r="J7" s="50" t="s">
        <v>72</v>
      </c>
      <c r="K7" s="51"/>
      <c r="L7" s="51"/>
      <c r="M7" s="51"/>
      <c r="N7" s="51"/>
      <c r="O7" s="51"/>
      <c r="P7" s="52"/>
    </row>
    <row r="8" spans="1:16" ht="39.6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73</v>
      </c>
      <c r="I8" s="49">
        <f t="shared" si="0"/>
        <v>8</v>
      </c>
      <c r="J8" s="50" t="s">
        <v>74</v>
      </c>
      <c r="K8" s="51"/>
      <c r="L8" s="51"/>
      <c r="M8" s="51"/>
      <c r="N8" s="51"/>
      <c r="O8" s="51"/>
      <c r="P8" s="52"/>
    </row>
    <row r="9" spans="1:16" ht="39.6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75</v>
      </c>
      <c r="I9" s="48">
        <f t="shared" si="0"/>
        <v>8</v>
      </c>
      <c r="J9" s="50" t="s">
        <v>76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71</v>
      </c>
      <c r="I10" s="49">
        <f t="shared" si="0"/>
        <v>8</v>
      </c>
      <c r="J10" s="50" t="s">
        <v>77</v>
      </c>
      <c r="K10" s="51"/>
      <c r="L10" s="51"/>
      <c r="M10" s="51"/>
      <c r="N10" s="51"/>
      <c r="O10" s="51"/>
      <c r="P10" s="52"/>
    </row>
    <row r="11" spans="1:16" ht="39.6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78</v>
      </c>
      <c r="I11" s="48">
        <f t="shared" si="0"/>
        <v>8</v>
      </c>
      <c r="J11" s="50" t="s">
        <v>79</v>
      </c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41</v>
      </c>
      <c r="I12" s="49">
        <f t="shared" si="0"/>
        <v>8</v>
      </c>
      <c r="J12" s="50" t="s">
        <v>80</v>
      </c>
      <c r="K12" s="51"/>
      <c r="L12" s="51"/>
      <c r="M12" s="51"/>
      <c r="N12" s="51"/>
      <c r="O12" s="51"/>
      <c r="P12" s="52"/>
    </row>
    <row r="13" spans="1:16" ht="39.6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81</v>
      </c>
      <c r="I13" s="48">
        <f t="shared" si="0"/>
        <v>8</v>
      </c>
      <c r="J13" s="50" t="s">
        <v>82</v>
      </c>
      <c r="K13" s="51"/>
      <c r="L13" s="51"/>
      <c r="M13" s="51"/>
      <c r="N13" s="51"/>
      <c r="O13" s="51"/>
      <c r="P13" s="52"/>
    </row>
    <row r="14" spans="1:16" ht="39.6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83</v>
      </c>
      <c r="I14" s="49">
        <f t="shared" si="0"/>
        <v>8</v>
      </c>
      <c r="J14" s="50" t="s">
        <v>84</v>
      </c>
      <c r="K14" s="51"/>
      <c r="L14" s="51"/>
      <c r="M14" s="51"/>
      <c r="N14" s="51"/>
      <c r="O14" s="51"/>
      <c r="P14" s="52"/>
    </row>
    <row r="15" spans="1:16" ht="39.6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85</v>
      </c>
      <c r="I15" s="48">
        <f t="shared" si="0"/>
        <v>8</v>
      </c>
      <c r="J15" s="50" t="s">
        <v>86</v>
      </c>
      <c r="K15" s="51"/>
      <c r="L15" s="51"/>
      <c r="M15" s="51"/>
      <c r="N15" s="51"/>
      <c r="O15" s="51"/>
      <c r="P15" s="52"/>
    </row>
    <row r="16" spans="1:16" ht="39.6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87</v>
      </c>
      <c r="I16" s="49">
        <f t="shared" si="0"/>
        <v>8</v>
      </c>
      <c r="J16" s="50" t="s">
        <v>88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/>
      <c r="F17" s="17"/>
      <c r="G17" s="17" t="str">
        <f t="shared" si="1"/>
        <v/>
      </c>
      <c r="H17" s="16" t="s">
        <v>71</v>
      </c>
      <c r="I17" s="48">
        <f t="shared" si="0"/>
        <v>8</v>
      </c>
      <c r="J17" s="50" t="s">
        <v>89</v>
      </c>
      <c r="K17" s="51"/>
      <c r="L17" s="51"/>
      <c r="M17" s="51"/>
      <c r="N17" s="51"/>
      <c r="O17" s="51"/>
      <c r="P17" s="52"/>
    </row>
    <row r="18" spans="1:16" ht="39.6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87</v>
      </c>
      <c r="I18" s="49">
        <f t="shared" si="0"/>
        <v>8</v>
      </c>
      <c r="J18" s="50" t="s">
        <v>90</v>
      </c>
      <c r="K18" s="51"/>
      <c r="L18" s="51"/>
      <c r="M18" s="51"/>
      <c r="N18" s="51"/>
      <c r="O18" s="51"/>
      <c r="P18" s="52"/>
    </row>
    <row r="19" spans="1:16" ht="39.6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75</v>
      </c>
      <c r="I19" s="48">
        <f t="shared" si="0"/>
        <v>8</v>
      </c>
      <c r="J19" s="50" t="s">
        <v>91</v>
      </c>
      <c r="K19" s="51"/>
      <c r="L19" s="51"/>
      <c r="M19" s="51"/>
      <c r="N19" s="51"/>
      <c r="O19" s="51"/>
      <c r="P19" s="52"/>
    </row>
    <row r="20" spans="1:16" ht="39.6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92</v>
      </c>
      <c r="I20" s="49">
        <f t="shared" si="0"/>
        <v>8</v>
      </c>
      <c r="J20" s="50" t="s">
        <v>93</v>
      </c>
      <c r="K20" s="51"/>
      <c r="L20" s="51"/>
      <c r="M20" s="51"/>
      <c r="N20" s="51"/>
      <c r="O20" s="51"/>
      <c r="P20" s="52"/>
    </row>
    <row r="21" spans="1:16" ht="39.6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94</v>
      </c>
      <c r="I21" s="48">
        <f t="shared" si="0"/>
        <v>8</v>
      </c>
      <c r="J21" s="50" t="s">
        <v>95</v>
      </c>
      <c r="K21" s="51"/>
      <c r="L21" s="51"/>
      <c r="M21" s="51"/>
      <c r="N21" s="51"/>
      <c r="O21" s="51"/>
      <c r="P21" s="52"/>
    </row>
    <row r="22" spans="1:16" ht="39.6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96</v>
      </c>
      <c r="I22" s="49">
        <f>IFERROR(IF(SUM(C21:G21)&gt;24,"إجمالي &gt; 24 ساعة.",SUM(C21:G21)), "")</f>
        <v>8</v>
      </c>
      <c r="J22" s="50" t="s">
        <v>97</v>
      </c>
      <c r="K22" s="51"/>
      <c r="L22" s="51"/>
      <c r="M22" s="51"/>
      <c r="N22" s="51"/>
      <c r="O22" s="51"/>
      <c r="P22" s="52"/>
    </row>
    <row r="23" spans="1:16" ht="39.6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98</v>
      </c>
      <c r="I23" s="48">
        <f t="shared" ref="I23:I37" si="3">IFERROR(IF(SUM(C23:G23)&gt;24,"إجمالي &gt; 24 ساعة.",SUM(C23:G23)), "")</f>
        <v>8</v>
      </c>
      <c r="J23" s="50" t="s">
        <v>99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71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41</v>
      </c>
      <c r="I25" s="48">
        <f t="shared" si="3"/>
        <v>8</v>
      </c>
      <c r="J25" s="50" t="s">
        <v>101</v>
      </c>
      <c r="K25" s="51"/>
      <c r="L25" s="51"/>
      <c r="M25" s="51"/>
      <c r="N25" s="51"/>
      <c r="O25" s="51"/>
      <c r="P25" s="52"/>
    </row>
    <row r="26" spans="1:16" ht="52.8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102</v>
      </c>
      <c r="I26" s="49">
        <f t="shared" si="3"/>
        <v>8</v>
      </c>
      <c r="J26" s="50" t="s">
        <v>103</v>
      </c>
      <c r="K26" s="51"/>
      <c r="L26" s="51"/>
      <c r="M26" s="51"/>
      <c r="N26" s="51"/>
      <c r="O26" s="51"/>
      <c r="P26" s="52"/>
    </row>
    <row r="27" spans="1:16" ht="39.6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104</v>
      </c>
      <c r="I27" s="48">
        <f t="shared" si="3"/>
        <v>8</v>
      </c>
      <c r="J27" s="50" t="s">
        <v>105</v>
      </c>
      <c r="K27" s="51"/>
      <c r="L27" s="51"/>
      <c r="M27" s="51"/>
      <c r="N27" s="51"/>
      <c r="O27" s="51"/>
      <c r="P27" s="52"/>
    </row>
    <row r="28" spans="1:16" ht="39.6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106</v>
      </c>
      <c r="I28" s="49">
        <f t="shared" si="3"/>
        <v>8</v>
      </c>
      <c r="J28" s="50" t="s">
        <v>107</v>
      </c>
      <c r="K28" s="51"/>
      <c r="L28" s="51"/>
      <c r="M28" s="51"/>
      <c r="N28" s="51"/>
      <c r="O28" s="51"/>
      <c r="P28" s="52"/>
    </row>
    <row r="29" spans="1:16" ht="39.6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108</v>
      </c>
      <c r="I29" s="48">
        <f t="shared" si="3"/>
        <v>8</v>
      </c>
      <c r="J29" s="50" t="s">
        <v>109</v>
      </c>
      <c r="K29" s="51"/>
      <c r="L29" s="51"/>
      <c r="M29" s="51"/>
      <c r="N29" s="51"/>
      <c r="O29" s="51"/>
      <c r="P29" s="52"/>
    </row>
    <row r="30" spans="1:16" ht="39.6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110</v>
      </c>
      <c r="I30" s="49">
        <f t="shared" si="3"/>
        <v>8</v>
      </c>
      <c r="J30" s="50" t="s">
        <v>111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/>
      <c r="F31" s="17"/>
      <c r="G31" s="17" t="str">
        <f t="shared" si="2"/>
        <v/>
      </c>
      <c r="H31" s="16" t="s">
        <v>71</v>
      </c>
      <c r="I31" s="48">
        <f t="shared" si="3"/>
        <v>8</v>
      </c>
      <c r="J31" s="50" t="s">
        <v>112</v>
      </c>
      <c r="K31" s="51"/>
      <c r="L31" s="51"/>
      <c r="M31" s="51"/>
      <c r="N31" s="51"/>
      <c r="O31" s="51"/>
      <c r="P31" s="52"/>
    </row>
    <row r="32" spans="1:16" ht="39.6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113</v>
      </c>
      <c r="I32" s="49">
        <f t="shared" si="3"/>
        <v>8</v>
      </c>
      <c r="J32" s="50" t="s">
        <v>114</v>
      </c>
      <c r="K32" s="51"/>
      <c r="L32" s="51"/>
      <c r="M32" s="51"/>
      <c r="N32" s="51"/>
      <c r="O32" s="51"/>
      <c r="P32" s="52"/>
    </row>
    <row r="33" spans="1:16" ht="39.6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115</v>
      </c>
      <c r="I33" s="48">
        <f t="shared" si="3"/>
        <v>8</v>
      </c>
      <c r="J33" s="50" t="s">
        <v>116</v>
      </c>
      <c r="K33" s="51"/>
      <c r="L33" s="51"/>
      <c r="M33" s="51"/>
      <c r="N33" s="51"/>
      <c r="O33" s="51"/>
      <c r="P33" s="52"/>
    </row>
    <row r="34" spans="1:16" ht="52.8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117</v>
      </c>
      <c r="I34" s="49">
        <f t="shared" si="3"/>
        <v>8</v>
      </c>
      <c r="J34" s="50" t="s">
        <v>118</v>
      </c>
      <c r="K34" s="51"/>
      <c r="L34" s="51"/>
      <c r="M34" s="51"/>
      <c r="N34" s="51"/>
      <c r="O34" s="51"/>
      <c r="P34" s="52"/>
    </row>
    <row r="35" spans="1:16" ht="52.8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119</v>
      </c>
      <c r="I35" s="48">
        <f t="shared" si="3"/>
        <v>8</v>
      </c>
      <c r="J35" s="50" t="s">
        <v>120</v>
      </c>
      <c r="K35" s="51"/>
      <c r="L35" s="51"/>
      <c r="M35" s="51"/>
      <c r="N35" s="51"/>
      <c r="O35" s="51"/>
      <c r="P35" s="52"/>
    </row>
    <row r="36" spans="1:16" ht="39.6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121</v>
      </c>
      <c r="I36" s="49">
        <f t="shared" si="3"/>
        <v>8</v>
      </c>
      <c r="J36" s="50" t="s">
        <v>122</v>
      </c>
      <c r="K36" s="51"/>
      <c r="L36" s="51"/>
      <c r="M36" s="51"/>
      <c r="N36" s="51"/>
      <c r="O36" s="51"/>
      <c r="P36" s="52"/>
    </row>
    <row r="37" spans="1:16" ht="39.6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123</v>
      </c>
      <c r="I37" s="48">
        <f t="shared" si="3"/>
        <v>8</v>
      </c>
      <c r="J37" s="50" t="s">
        <v>124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4500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4500</v>
      </c>
      <c r="P42" s="34"/>
    </row>
    <row r="43" spans="1:16" ht="35.4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31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23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125</v>
      </c>
      <c r="P2" s="34"/>
    </row>
    <row r="3" spans="1:16" ht="17.399999999999999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64.516129032258064</v>
      </c>
      <c r="P3" s="34"/>
    </row>
    <row r="4" spans="1:16" ht="17.399999999999999" x14ac:dyDescent="0.3">
      <c r="A4" s="35" t="s">
        <v>5</v>
      </c>
      <c r="B4" s="58" t="s">
        <v>126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8.064516129032258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36</v>
      </c>
      <c r="C7" s="17">
        <v>8</v>
      </c>
      <c r="D7" s="17"/>
      <c r="E7" s="17"/>
      <c r="F7" s="17"/>
      <c r="G7" s="17"/>
      <c r="H7" s="16" t="s">
        <v>71</v>
      </c>
      <c r="I7" s="48">
        <f t="shared" ref="I7:I21" si="0">IFERROR(IF(SUM(C7:G7)&gt;24,"إجمالي &gt; 24 ساعة.",SUM(C7:G7)), "")</f>
        <v>8</v>
      </c>
      <c r="J7" s="50" t="s">
        <v>127</v>
      </c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128</v>
      </c>
      <c r="C8" s="9">
        <v>8</v>
      </c>
      <c r="D8" s="18"/>
      <c r="E8" s="19"/>
      <c r="F8" s="24"/>
      <c r="G8" s="19" t="str">
        <f t="shared" ref="G8:G21" si="1">IF(B8="SL","SL","")</f>
        <v>SL</v>
      </c>
      <c r="H8" s="20" t="s">
        <v>71</v>
      </c>
      <c r="I8" s="49">
        <f t="shared" si="0"/>
        <v>8</v>
      </c>
      <c r="J8" s="50" t="s">
        <v>129</v>
      </c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128</v>
      </c>
      <c r="C9" s="17">
        <v>8</v>
      </c>
      <c r="D9" s="17"/>
      <c r="E9" s="17"/>
      <c r="F9" s="17"/>
      <c r="G9" s="17" t="str">
        <f t="shared" si="1"/>
        <v>SL</v>
      </c>
      <c r="H9" s="16" t="s">
        <v>71</v>
      </c>
      <c r="I9" s="48">
        <f t="shared" si="0"/>
        <v>8</v>
      </c>
      <c r="J9" s="50" t="s">
        <v>130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38</v>
      </c>
      <c r="C10" s="9">
        <v>8</v>
      </c>
      <c r="D10" s="18"/>
      <c r="E10" s="19"/>
      <c r="F10" s="24"/>
      <c r="G10" s="19" t="str">
        <f t="shared" si="1"/>
        <v/>
      </c>
      <c r="H10" s="20" t="s">
        <v>71</v>
      </c>
      <c r="I10" s="49">
        <f t="shared" si="0"/>
        <v>8</v>
      </c>
      <c r="J10" s="50" t="s">
        <v>100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131</v>
      </c>
      <c r="C11" s="17"/>
      <c r="D11" s="17"/>
      <c r="E11" s="17"/>
      <c r="F11" s="17"/>
      <c r="G11" s="17" t="str">
        <f t="shared" si="1"/>
        <v/>
      </c>
      <c r="H11" s="16"/>
      <c r="I11" s="48">
        <f t="shared" si="0"/>
        <v>0</v>
      </c>
      <c r="J11" s="50" t="s">
        <v>132</v>
      </c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71</v>
      </c>
      <c r="I12" s="49">
        <f t="shared" si="0"/>
        <v>8</v>
      </c>
      <c r="J12" s="50" t="s">
        <v>133</v>
      </c>
      <c r="K12" s="51"/>
      <c r="L12" s="51"/>
      <c r="M12" s="51"/>
      <c r="N12" s="51"/>
      <c r="O12" s="51"/>
      <c r="P12" s="52"/>
    </row>
    <row r="13" spans="1:16" ht="26.4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134</v>
      </c>
      <c r="I13" s="48">
        <f t="shared" si="0"/>
        <v>8</v>
      </c>
      <c r="J13" s="50" t="s">
        <v>135</v>
      </c>
      <c r="K13" s="51"/>
      <c r="L13" s="51"/>
      <c r="M13" s="51"/>
      <c r="N13" s="51"/>
      <c r="O13" s="51"/>
      <c r="P13" s="52"/>
    </row>
    <row r="14" spans="1:16" ht="26.4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136</v>
      </c>
      <c r="I14" s="49">
        <f t="shared" si="0"/>
        <v>8</v>
      </c>
      <c r="J14" s="50" t="s">
        <v>137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71</v>
      </c>
      <c r="I15" s="48">
        <f t="shared" si="0"/>
        <v>8</v>
      </c>
      <c r="J15" s="50" t="s">
        <v>138</v>
      </c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71</v>
      </c>
      <c r="I16" s="49">
        <f t="shared" si="0"/>
        <v>8</v>
      </c>
      <c r="J16" s="50" t="s">
        <v>139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/>
      <c r="F17" s="17"/>
      <c r="G17" s="17" t="str">
        <f t="shared" si="1"/>
        <v/>
      </c>
      <c r="H17" s="16" t="s">
        <v>71</v>
      </c>
      <c r="I17" s="48">
        <f t="shared" si="0"/>
        <v>8</v>
      </c>
      <c r="J17" s="50" t="s">
        <v>77</v>
      </c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71</v>
      </c>
      <c r="I18" s="49">
        <f t="shared" si="0"/>
        <v>8</v>
      </c>
      <c r="J18" s="50" t="s">
        <v>140</v>
      </c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71</v>
      </c>
      <c r="I19" s="48">
        <f t="shared" si="0"/>
        <v>8</v>
      </c>
      <c r="J19" s="50" t="s">
        <v>141</v>
      </c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71</v>
      </c>
      <c r="I20" s="49">
        <f t="shared" si="0"/>
        <v>8</v>
      </c>
      <c r="J20" s="50" t="s">
        <v>142</v>
      </c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71</v>
      </c>
      <c r="I21" s="48">
        <f t="shared" si="0"/>
        <v>8</v>
      </c>
      <c r="J21" s="50" t="s">
        <v>143</v>
      </c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41</v>
      </c>
      <c r="I22" s="49">
        <f>IFERROR(IF(SUM(C21:G21)&gt;24,"إجمالي &gt; 24 ساعة.",SUM(C21:G21)), "")</f>
        <v>8</v>
      </c>
      <c r="J22" s="50" t="s">
        <v>144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41</v>
      </c>
      <c r="I23" s="48">
        <f t="shared" ref="I23:I37" si="3">IFERROR(IF(SUM(C23:G23)&gt;24,"إجمالي &gt; 24 ساعة.",SUM(C23:G23)), "")</f>
        <v>8</v>
      </c>
      <c r="J23" s="50" t="s">
        <v>145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71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146</v>
      </c>
      <c r="I25" s="48">
        <f t="shared" si="3"/>
        <v>8</v>
      </c>
      <c r="J25" s="50" t="s">
        <v>147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146</v>
      </c>
      <c r="I26" s="49">
        <f t="shared" si="3"/>
        <v>8</v>
      </c>
      <c r="J26" s="50" t="s">
        <v>148</v>
      </c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71</v>
      </c>
      <c r="I27" s="48">
        <f t="shared" si="3"/>
        <v>8</v>
      </c>
      <c r="J27" s="50" t="s">
        <v>149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1</v>
      </c>
      <c r="E28" s="24"/>
      <c r="F28" s="24"/>
      <c r="G28" s="19" t="str">
        <f t="shared" si="2"/>
        <v/>
      </c>
      <c r="H28" s="20" t="s">
        <v>150</v>
      </c>
      <c r="I28" s="49">
        <f t="shared" si="3"/>
        <v>9</v>
      </c>
      <c r="J28" s="50" t="s">
        <v>151</v>
      </c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71</v>
      </c>
      <c r="I29" s="48">
        <f t="shared" si="3"/>
        <v>8</v>
      </c>
      <c r="J29" s="50" t="s">
        <v>152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153</v>
      </c>
      <c r="I30" s="49">
        <f t="shared" si="3"/>
        <v>8</v>
      </c>
      <c r="J30" s="50" t="s">
        <v>154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/>
      <c r="F31" s="17"/>
      <c r="G31" s="17" t="str">
        <f t="shared" si="2"/>
        <v/>
      </c>
      <c r="H31" s="16" t="s">
        <v>71</v>
      </c>
      <c r="I31" s="48">
        <f t="shared" si="3"/>
        <v>8</v>
      </c>
      <c r="J31" s="50" t="s">
        <v>100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71</v>
      </c>
      <c r="I32" s="49">
        <f t="shared" si="3"/>
        <v>8</v>
      </c>
      <c r="J32" s="50" t="s">
        <v>155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71</v>
      </c>
      <c r="I33" s="48">
        <f t="shared" si="3"/>
        <v>8</v>
      </c>
      <c r="J33" s="50" t="s">
        <v>156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71</v>
      </c>
      <c r="I34" s="49">
        <f t="shared" si="3"/>
        <v>8</v>
      </c>
      <c r="J34" s="50" t="s">
        <v>157</v>
      </c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71</v>
      </c>
      <c r="I35" s="48">
        <f t="shared" si="3"/>
        <v>8</v>
      </c>
      <c r="J35" s="50" t="s">
        <v>158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71</v>
      </c>
      <c r="I36" s="49">
        <f t="shared" si="3"/>
        <v>8</v>
      </c>
      <c r="J36" s="50" t="s">
        <v>159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41</v>
      </c>
      <c r="I37" s="48">
        <f t="shared" si="3"/>
        <v>8</v>
      </c>
      <c r="J37" s="50" t="s">
        <v>160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240</v>
      </c>
      <c r="D38" s="22">
        <f>IFERROR(SUM(D7:D37), "")</f>
        <v>1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28</v>
      </c>
      <c r="D39" s="12"/>
      <c r="E39" s="12"/>
      <c r="F39" s="12"/>
      <c r="G39" s="25" t="s">
        <v>22</v>
      </c>
      <c r="H39" s="26">
        <f>COUNTIF(B7:B37,"sl")</f>
        <v>2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1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64.516129032258064</v>
      </c>
      <c r="D41" s="12"/>
      <c r="E41" s="12"/>
      <c r="F41" s="13"/>
      <c r="G41" s="25" t="s">
        <v>26</v>
      </c>
      <c r="H41" s="28">
        <f>SUM(C41+H40)</f>
        <v>64.516129032258064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1935.483870967742</v>
      </c>
      <c r="D42" s="14">
        <f>IFERROR(I2/248*1.25*D38, "")</f>
        <v>10.080645161290322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1945.5645161290322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1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45"/>
  <sheetViews>
    <sheetView rightToLeft="1" tabSelected="1" topLeftCell="A14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5" width="16.21875" bestFit="1" customWidth="1"/>
    <col min="6" max="6" width="15.6640625" bestFit="1" customWidth="1"/>
    <col min="7" max="7" width="21.6640625" bestFit="1" customWidth="1"/>
    <col min="8" max="8" width="19.1093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56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48.387096774193552</v>
      </c>
      <c r="P3" s="34"/>
    </row>
    <row r="4" spans="1:16" ht="17.399999999999999" x14ac:dyDescent="0.3">
      <c r="A4" s="35" t="s">
        <v>5</v>
      </c>
      <c r="B4" s="58" t="s">
        <v>161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6.0483870967741939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38</v>
      </c>
      <c r="C7" s="17">
        <v>8</v>
      </c>
      <c r="D7" s="17"/>
      <c r="E7" s="17"/>
      <c r="F7" s="17"/>
      <c r="G7" s="17"/>
      <c r="H7" s="16" t="s">
        <v>162</v>
      </c>
      <c r="I7" s="48">
        <f t="shared" ref="I7:I21" si="0">IFERROR(IF(SUM(C7:G7)&gt;24,"إجمالي &gt; 24 ساعة.",SUM(C7:G7)), "")</f>
        <v>8</v>
      </c>
      <c r="J7" s="50" t="s">
        <v>163</v>
      </c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162</v>
      </c>
      <c r="I8" s="49">
        <f t="shared" si="0"/>
        <v>8</v>
      </c>
      <c r="J8" s="50" t="s">
        <v>164</v>
      </c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162</v>
      </c>
      <c r="I9" s="48">
        <f t="shared" si="0"/>
        <v>8</v>
      </c>
      <c r="J9" s="50" t="s">
        <v>164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1</v>
      </c>
      <c r="E10" s="19"/>
      <c r="F10" s="24"/>
      <c r="G10" s="19" t="str">
        <f t="shared" si="1"/>
        <v/>
      </c>
      <c r="H10" s="20" t="s">
        <v>162</v>
      </c>
      <c r="I10" s="49">
        <f t="shared" si="0"/>
        <v>9</v>
      </c>
      <c r="J10" s="50" t="s">
        <v>165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162</v>
      </c>
      <c r="I11" s="48">
        <f t="shared" si="0"/>
        <v>8</v>
      </c>
      <c r="J11" s="50" t="s">
        <v>164</v>
      </c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162</v>
      </c>
      <c r="I12" s="49">
        <f t="shared" si="0"/>
        <v>8</v>
      </c>
      <c r="J12" s="50" t="s">
        <v>164</v>
      </c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1</v>
      </c>
      <c r="E13" s="17"/>
      <c r="F13" s="17"/>
      <c r="G13" s="17" t="str">
        <f t="shared" si="1"/>
        <v/>
      </c>
      <c r="H13" s="16" t="s">
        <v>162</v>
      </c>
      <c r="I13" s="48">
        <f t="shared" si="0"/>
        <v>9</v>
      </c>
      <c r="J13" s="50" t="s">
        <v>166</v>
      </c>
      <c r="K13" s="51"/>
      <c r="L13" s="51"/>
      <c r="M13" s="51"/>
      <c r="N13" s="51"/>
      <c r="O13" s="51"/>
      <c r="P13" s="52"/>
    </row>
    <row r="14" spans="1:16" ht="26.4" x14ac:dyDescent="0.3">
      <c r="A14" s="39">
        <v>46030</v>
      </c>
      <c r="B14" s="18" t="s">
        <v>34</v>
      </c>
      <c r="C14" s="9">
        <v>8</v>
      </c>
      <c r="D14" s="18">
        <v>1</v>
      </c>
      <c r="E14" s="24"/>
      <c r="F14" s="24"/>
      <c r="G14" s="19" t="str">
        <f t="shared" si="1"/>
        <v/>
      </c>
      <c r="H14" s="20" t="s">
        <v>167</v>
      </c>
      <c r="I14" s="49">
        <f t="shared" si="0"/>
        <v>9</v>
      </c>
      <c r="J14" s="50" t="s">
        <v>168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162</v>
      </c>
      <c r="I15" s="48">
        <f t="shared" si="0"/>
        <v>8</v>
      </c>
      <c r="J15" s="50" t="s">
        <v>164</v>
      </c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162</v>
      </c>
      <c r="I16" s="49">
        <f t="shared" si="0"/>
        <v>8</v>
      </c>
      <c r="J16" s="50" t="s">
        <v>164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>
        <v>2</v>
      </c>
      <c r="F17" s="17"/>
      <c r="G17" s="17" t="str">
        <f t="shared" si="1"/>
        <v/>
      </c>
      <c r="H17" s="16" t="s">
        <v>162</v>
      </c>
      <c r="I17" s="48">
        <f t="shared" si="0"/>
        <v>10</v>
      </c>
      <c r="J17" s="50" t="s">
        <v>169</v>
      </c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162</v>
      </c>
      <c r="I18" s="49">
        <f t="shared" si="0"/>
        <v>8</v>
      </c>
      <c r="J18" s="50" t="s">
        <v>164</v>
      </c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162</v>
      </c>
      <c r="I19" s="48">
        <f t="shared" si="0"/>
        <v>8</v>
      </c>
      <c r="J19" s="50" t="s">
        <v>164</v>
      </c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162</v>
      </c>
      <c r="I20" s="49">
        <f t="shared" si="0"/>
        <v>8</v>
      </c>
      <c r="J20" s="50" t="s">
        <v>164</v>
      </c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162</v>
      </c>
      <c r="I21" s="48">
        <f t="shared" si="0"/>
        <v>8</v>
      </c>
      <c r="J21" s="50" t="s">
        <v>164</v>
      </c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162</v>
      </c>
      <c r="I22" s="49">
        <f>IFERROR(IF(SUM(C21:G21)&gt;24,"إجمالي &gt; 24 ساعة.",SUM(C21:G21)), "")</f>
        <v>8</v>
      </c>
      <c r="J22" s="50" t="s">
        <v>164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162</v>
      </c>
      <c r="I23" s="48">
        <f t="shared" ref="I23:I37" si="3">IFERROR(IF(SUM(C23:G23)&gt;24,"إجمالي &gt; 24 ساعة.",SUM(C23:G23)), "")</f>
        <v>8</v>
      </c>
      <c r="J23" s="50" t="s">
        <v>164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>
        <v>1</v>
      </c>
      <c r="F24" s="24"/>
      <c r="G24" s="19" t="str">
        <f t="shared" si="2"/>
        <v/>
      </c>
      <c r="H24" s="20" t="s">
        <v>162</v>
      </c>
      <c r="I24" s="49">
        <f t="shared" si="3"/>
        <v>9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162</v>
      </c>
      <c r="I25" s="48">
        <f t="shared" si="3"/>
        <v>8</v>
      </c>
      <c r="J25" s="50" t="s">
        <v>170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162</v>
      </c>
      <c r="I26" s="49">
        <f t="shared" si="3"/>
        <v>8</v>
      </c>
      <c r="J26" s="50" t="s">
        <v>171</v>
      </c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162</v>
      </c>
      <c r="I27" s="48">
        <f t="shared" si="3"/>
        <v>8</v>
      </c>
      <c r="J27" s="50" t="s">
        <v>172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40</v>
      </c>
      <c r="I28" s="49">
        <f t="shared" si="3"/>
        <v>8</v>
      </c>
      <c r="J28" s="50" t="s">
        <v>164</v>
      </c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162</v>
      </c>
      <c r="I29" s="48">
        <f t="shared" si="3"/>
        <v>8</v>
      </c>
      <c r="J29" s="50" t="s">
        <v>164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162</v>
      </c>
      <c r="I30" s="49">
        <f t="shared" si="3"/>
        <v>8</v>
      </c>
      <c r="J30" s="50" t="s">
        <v>164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>
        <v>2</v>
      </c>
      <c r="F31" s="17"/>
      <c r="G31" s="17" t="str">
        <f t="shared" si="2"/>
        <v/>
      </c>
      <c r="H31" s="16" t="s">
        <v>162</v>
      </c>
      <c r="I31" s="48">
        <f t="shared" si="3"/>
        <v>10</v>
      </c>
      <c r="J31" s="50" t="s">
        <v>164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162</v>
      </c>
      <c r="I32" s="49">
        <f t="shared" si="3"/>
        <v>8</v>
      </c>
      <c r="J32" s="50" t="s">
        <v>164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162</v>
      </c>
      <c r="I33" s="48">
        <f t="shared" si="3"/>
        <v>8</v>
      </c>
      <c r="J33" s="50" t="s">
        <v>164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1</v>
      </c>
      <c r="E34" s="24"/>
      <c r="F34" s="24"/>
      <c r="G34" s="19" t="str">
        <f t="shared" si="2"/>
        <v/>
      </c>
      <c r="H34" s="20" t="s">
        <v>162</v>
      </c>
      <c r="I34" s="49">
        <f t="shared" si="3"/>
        <v>9</v>
      </c>
      <c r="J34" s="50" t="s">
        <v>173</v>
      </c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162</v>
      </c>
      <c r="I35" s="48">
        <f t="shared" si="3"/>
        <v>8</v>
      </c>
      <c r="J35" s="50" t="s">
        <v>164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162</v>
      </c>
      <c r="I36" s="49">
        <f t="shared" si="3"/>
        <v>8</v>
      </c>
      <c r="J36" s="50" t="s">
        <v>164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162</v>
      </c>
      <c r="I37" s="48">
        <f t="shared" si="3"/>
        <v>8</v>
      </c>
      <c r="J37" s="50" t="s">
        <v>164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</v>
      </c>
      <c r="E38" s="22">
        <f>IFERROR(SUM(E7:E37), "")</f>
        <v>5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1500</v>
      </c>
      <c r="D42" s="14">
        <f>IFERROR(I2/248*1.25*D38, "")</f>
        <v>30.241935483870968</v>
      </c>
      <c r="E42" s="14">
        <f>IFERROR(I2/248*1.5*E38, "")</f>
        <v>45.362903225806463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1575.6048387096776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1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45"/>
  <sheetViews>
    <sheetView rightToLeft="1" tabSelected="1" topLeftCell="A7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23.4414062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17.399999999999999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56</v>
      </c>
      <c r="P2" s="34"/>
    </row>
    <row r="3" spans="1:16" ht="17.399999999999999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48.387096774193552</v>
      </c>
      <c r="P3" s="34"/>
    </row>
    <row r="4" spans="1:16" ht="17.399999999999999" x14ac:dyDescent="0.3">
      <c r="A4" s="35" t="s">
        <v>5</v>
      </c>
      <c r="B4" s="58" t="s">
        <v>174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6.0483870967741939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175</v>
      </c>
      <c r="I7" s="48">
        <f t="shared" ref="I7:I21" si="0">IFERROR(IF(SUM(C7:G7)&gt;24,"إجمالي &gt; 24 ساعة.",SUM(C7:G7)), "")</f>
        <v>8</v>
      </c>
      <c r="J7" s="50" t="s">
        <v>163</v>
      </c>
      <c r="K7" s="51"/>
      <c r="L7" s="51"/>
      <c r="M7" s="51"/>
      <c r="N7" s="51"/>
      <c r="O7" s="51"/>
      <c r="P7" s="52"/>
    </row>
    <row r="8" spans="1:16" ht="26.4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176</v>
      </c>
      <c r="I8" s="49">
        <f t="shared" si="0"/>
        <v>8</v>
      </c>
      <c r="J8" s="50" t="s">
        <v>177</v>
      </c>
      <c r="K8" s="51"/>
      <c r="L8" s="51"/>
      <c r="M8" s="51"/>
      <c r="N8" s="51"/>
      <c r="O8" s="51"/>
      <c r="P8" s="52"/>
    </row>
    <row r="9" spans="1:16" ht="26.4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178</v>
      </c>
      <c r="I9" s="48">
        <f t="shared" si="0"/>
        <v>8</v>
      </c>
      <c r="J9" s="50" t="s">
        <v>179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1</v>
      </c>
      <c r="E10" s="19"/>
      <c r="F10" s="24"/>
      <c r="G10" s="19" t="str">
        <f t="shared" si="1"/>
        <v/>
      </c>
      <c r="H10" s="20" t="s">
        <v>175</v>
      </c>
      <c r="I10" s="49">
        <f t="shared" si="0"/>
        <v>9</v>
      </c>
      <c r="J10" s="50" t="s">
        <v>180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150</v>
      </c>
      <c r="I11" s="48">
        <f t="shared" si="0"/>
        <v>8</v>
      </c>
      <c r="J11" s="50" t="s">
        <v>181</v>
      </c>
      <c r="K11" s="51"/>
      <c r="L11" s="51"/>
      <c r="M11" s="51"/>
      <c r="N11" s="51"/>
      <c r="O11" s="51"/>
      <c r="P11" s="52"/>
    </row>
    <row r="12" spans="1:16" ht="26.4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117</v>
      </c>
      <c r="I12" s="49">
        <f t="shared" si="0"/>
        <v>8</v>
      </c>
      <c r="J12" s="50" t="s">
        <v>182</v>
      </c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41</v>
      </c>
      <c r="I13" s="48">
        <f t="shared" si="0"/>
        <v>8</v>
      </c>
      <c r="J13" s="50" t="s">
        <v>183</v>
      </c>
      <c r="K13" s="51"/>
      <c r="L13" s="51"/>
      <c r="M13" s="51"/>
      <c r="N13" s="51"/>
      <c r="O13" s="51"/>
      <c r="P13" s="52"/>
    </row>
    <row r="14" spans="1:16" ht="26.4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83</v>
      </c>
      <c r="I14" s="49">
        <f t="shared" si="0"/>
        <v>8</v>
      </c>
      <c r="J14" s="50" t="s">
        <v>184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146</v>
      </c>
      <c r="I15" s="48">
        <f t="shared" si="0"/>
        <v>8</v>
      </c>
      <c r="J15" s="50" t="s">
        <v>185</v>
      </c>
      <c r="K15" s="51"/>
      <c r="L15" s="51"/>
      <c r="M15" s="51"/>
      <c r="N15" s="51"/>
      <c r="O15" s="51"/>
      <c r="P15" s="52"/>
    </row>
    <row r="16" spans="1:16" ht="26.4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186</v>
      </c>
      <c r="I16" s="49">
        <f t="shared" si="0"/>
        <v>8</v>
      </c>
      <c r="J16" s="50" t="s">
        <v>187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/>
      <c r="F17" s="17"/>
      <c r="G17" s="17" t="str">
        <f t="shared" si="1"/>
        <v/>
      </c>
      <c r="H17" s="16" t="s">
        <v>175</v>
      </c>
      <c r="I17" s="48">
        <f t="shared" si="0"/>
        <v>8</v>
      </c>
      <c r="J17" s="50" t="s">
        <v>100</v>
      </c>
      <c r="K17" s="51"/>
      <c r="L17" s="51"/>
      <c r="M17" s="51"/>
      <c r="N17" s="51"/>
      <c r="O17" s="51"/>
      <c r="P17" s="52"/>
    </row>
    <row r="18" spans="1:16" ht="26.4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188</v>
      </c>
      <c r="I18" s="49">
        <f t="shared" si="0"/>
        <v>8</v>
      </c>
      <c r="J18" s="50" t="s">
        <v>189</v>
      </c>
      <c r="K18" s="51"/>
      <c r="L18" s="51"/>
      <c r="M18" s="51"/>
      <c r="N18" s="51"/>
      <c r="O18" s="51"/>
      <c r="P18" s="52"/>
    </row>
    <row r="19" spans="1:16" ht="26.4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81</v>
      </c>
      <c r="I19" s="48">
        <f t="shared" si="0"/>
        <v>8</v>
      </c>
      <c r="J19" s="50" t="s">
        <v>190</v>
      </c>
      <c r="K19" s="51"/>
      <c r="L19" s="51"/>
      <c r="M19" s="51"/>
      <c r="N19" s="51"/>
      <c r="O19" s="51"/>
      <c r="P19" s="52"/>
    </row>
    <row r="20" spans="1:16" ht="26.4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191</v>
      </c>
      <c r="I20" s="49">
        <f t="shared" si="0"/>
        <v>8</v>
      </c>
      <c r="J20" s="50" t="s">
        <v>192</v>
      </c>
      <c r="K20" s="51"/>
      <c r="L20" s="51"/>
      <c r="M20" s="51"/>
      <c r="N20" s="51"/>
      <c r="O20" s="51"/>
      <c r="P20" s="52"/>
    </row>
    <row r="21" spans="1:16" ht="26.4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193</v>
      </c>
      <c r="I21" s="48">
        <f t="shared" si="0"/>
        <v>8</v>
      </c>
      <c r="J21" s="50" t="s">
        <v>194</v>
      </c>
      <c r="K21" s="51"/>
      <c r="L21" s="51"/>
      <c r="M21" s="51"/>
      <c r="N21" s="51"/>
      <c r="O21" s="51"/>
      <c r="P21" s="52"/>
    </row>
    <row r="22" spans="1:16" ht="26.4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195</v>
      </c>
      <c r="I22" s="49">
        <f>IFERROR(IF(SUM(C21:G21)&gt;24,"إجمالي &gt; 24 ساعة.",SUM(C21:G21)), "")</f>
        <v>8</v>
      </c>
      <c r="J22" s="50" t="s">
        <v>196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175</v>
      </c>
      <c r="I23" s="48">
        <f t="shared" ref="I23:I37" si="3">IFERROR(IF(SUM(C23:G23)&gt;24,"إجمالي &gt; 24 ساعة.",SUM(C23:G23)), "")</f>
        <v>8</v>
      </c>
      <c r="J23" s="50" t="s">
        <v>197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175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1</v>
      </c>
      <c r="E25" s="17"/>
      <c r="F25" s="17"/>
      <c r="G25" s="17" t="str">
        <f t="shared" si="2"/>
        <v/>
      </c>
      <c r="H25" s="16" t="s">
        <v>146</v>
      </c>
      <c r="I25" s="48">
        <f t="shared" si="3"/>
        <v>9</v>
      </c>
      <c r="J25" s="50" t="s">
        <v>198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162</v>
      </c>
      <c r="I26" s="49">
        <f t="shared" si="3"/>
        <v>8</v>
      </c>
      <c r="J26" s="50" t="s">
        <v>199</v>
      </c>
      <c r="K26" s="51"/>
      <c r="L26" s="51"/>
      <c r="M26" s="51"/>
      <c r="N26" s="51"/>
      <c r="O26" s="51"/>
      <c r="P26" s="52"/>
    </row>
    <row r="27" spans="1:16" ht="26.4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200</v>
      </c>
      <c r="I27" s="48">
        <f t="shared" si="3"/>
        <v>8</v>
      </c>
      <c r="J27" s="50" t="s">
        <v>201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1</v>
      </c>
      <c r="E28" s="24"/>
      <c r="F28" s="24"/>
      <c r="G28" s="19" t="str">
        <f t="shared" si="2"/>
        <v/>
      </c>
      <c r="H28" s="20" t="s">
        <v>150</v>
      </c>
      <c r="I28" s="49">
        <f t="shared" si="3"/>
        <v>9</v>
      </c>
      <c r="J28" s="50" t="s">
        <v>202</v>
      </c>
      <c r="K28" s="51"/>
      <c r="L28" s="51"/>
      <c r="M28" s="51"/>
      <c r="N28" s="51"/>
      <c r="O28" s="51"/>
      <c r="P28" s="52"/>
    </row>
    <row r="29" spans="1:16" ht="26.4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203</v>
      </c>
      <c r="I29" s="48">
        <f t="shared" si="3"/>
        <v>8</v>
      </c>
      <c r="J29" s="50" t="s">
        <v>204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153</v>
      </c>
      <c r="I30" s="49">
        <f t="shared" si="3"/>
        <v>8</v>
      </c>
      <c r="J30" s="50" t="s">
        <v>205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>
        <v>1</v>
      </c>
      <c r="F31" s="17"/>
      <c r="G31" s="17" t="str">
        <f t="shared" si="2"/>
        <v/>
      </c>
      <c r="H31" s="16" t="s">
        <v>175</v>
      </c>
      <c r="I31" s="48">
        <f t="shared" si="3"/>
        <v>9</v>
      </c>
      <c r="J31" s="50" t="s">
        <v>206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1</v>
      </c>
      <c r="E32" s="24"/>
      <c r="F32" s="24"/>
      <c r="G32" s="19" t="str">
        <f t="shared" si="2"/>
        <v/>
      </c>
      <c r="H32" s="20" t="s">
        <v>150</v>
      </c>
      <c r="I32" s="49">
        <f t="shared" si="3"/>
        <v>9</v>
      </c>
      <c r="J32" s="50" t="s">
        <v>207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146</v>
      </c>
      <c r="I33" s="48">
        <f t="shared" si="3"/>
        <v>8</v>
      </c>
      <c r="J33" s="50" t="s">
        <v>208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146</v>
      </c>
      <c r="I34" s="49">
        <f t="shared" si="3"/>
        <v>8</v>
      </c>
      <c r="J34" s="50" t="s">
        <v>209</v>
      </c>
      <c r="K34" s="51"/>
      <c r="L34" s="51"/>
      <c r="M34" s="51"/>
      <c r="N34" s="51"/>
      <c r="O34" s="51"/>
      <c r="P34" s="52"/>
    </row>
    <row r="35" spans="1:16" ht="26.4" x14ac:dyDescent="0.3">
      <c r="A35" s="38">
        <v>46051</v>
      </c>
      <c r="B35" s="17" t="s">
        <v>34</v>
      </c>
      <c r="C35" s="17">
        <v>8</v>
      </c>
      <c r="D35" s="17">
        <v>1</v>
      </c>
      <c r="E35" s="17"/>
      <c r="F35" s="17"/>
      <c r="G35" s="17" t="str">
        <f t="shared" si="2"/>
        <v/>
      </c>
      <c r="H35" s="16" t="s">
        <v>210</v>
      </c>
      <c r="I35" s="48">
        <f t="shared" si="3"/>
        <v>9</v>
      </c>
      <c r="J35" s="50" t="s">
        <v>211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175</v>
      </c>
      <c r="I36" s="49">
        <f t="shared" si="3"/>
        <v>8</v>
      </c>
      <c r="J36" s="50" t="s">
        <v>164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146</v>
      </c>
      <c r="I37" s="48">
        <f t="shared" si="3"/>
        <v>8</v>
      </c>
      <c r="J37" s="50" t="s">
        <v>212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5</v>
      </c>
      <c r="E38" s="22">
        <f>IFERROR(SUM(E7:E37), "")</f>
        <v>1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1500</v>
      </c>
      <c r="D42" s="14">
        <f>IFERROR(I2/248*1.25*D38, "")</f>
        <v>37.802419354838712</v>
      </c>
      <c r="E42" s="14">
        <f>IFERROR(I2/248*1.5*E38, "")</f>
        <v>9.0725806451612918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1546.875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48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69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145.16129032258064</v>
      </c>
      <c r="P3" s="34"/>
    </row>
    <row r="4" spans="1:16" ht="34.799999999999997" x14ac:dyDescent="0.3">
      <c r="A4" s="35" t="s">
        <v>5</v>
      </c>
      <c r="B4" s="58" t="s">
        <v>213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18.14516129032258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/>
      <c r="E7" s="17"/>
      <c r="F7" s="17"/>
      <c r="G7" s="17"/>
      <c r="H7" s="16" t="s">
        <v>37</v>
      </c>
      <c r="I7" s="48">
        <f t="shared" ref="I7:I21" si="0">IFERROR(IF(SUM(C7:G7)&gt;24,"إجمالي &gt; 24 ساعة.",SUM(C7:G7)), "")</f>
        <v>8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/>
      <c r="E10" s="19"/>
      <c r="F10" s="24"/>
      <c r="G10" s="19" t="str">
        <f t="shared" si="1"/>
        <v/>
      </c>
      <c r="H10" s="20" t="s">
        <v>47</v>
      </c>
      <c r="I10" s="49">
        <f t="shared" si="0"/>
        <v>8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47</v>
      </c>
      <c r="I11" s="48">
        <f t="shared" si="0"/>
        <v>8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41</v>
      </c>
      <c r="I12" s="49">
        <f t="shared" si="0"/>
        <v>8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41</v>
      </c>
      <c r="I13" s="48">
        <f t="shared" si="0"/>
        <v>8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39</v>
      </c>
      <c r="I14" s="49">
        <f t="shared" si="0"/>
        <v>8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39</v>
      </c>
      <c r="I15" s="48">
        <f t="shared" si="0"/>
        <v>8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/>
      <c r="E17" s="17"/>
      <c r="F17" s="17"/>
      <c r="G17" s="17" t="str">
        <f t="shared" si="1"/>
        <v/>
      </c>
      <c r="H17" s="16" t="s">
        <v>48</v>
      </c>
      <c r="I17" s="48">
        <f t="shared" si="0"/>
        <v>8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39</v>
      </c>
      <c r="I18" s="49">
        <f t="shared" si="0"/>
        <v>8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39</v>
      </c>
      <c r="I19" s="48">
        <f t="shared" si="0"/>
        <v>8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39</v>
      </c>
      <c r="I20" s="49">
        <f t="shared" si="0"/>
        <v>8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41</v>
      </c>
      <c r="I21" s="48">
        <f t="shared" si="0"/>
        <v>8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41</v>
      </c>
      <c r="I22" s="49">
        <f>IFERROR(IF(SUM(C21:G21)&gt;24,"إجمالي &gt; 24 ساعة.",SUM(C21:G21)), "")</f>
        <v>8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41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/>
      <c r="E24" s="24"/>
      <c r="F24" s="24"/>
      <c r="G24" s="19" t="str">
        <f t="shared" si="2"/>
        <v/>
      </c>
      <c r="H24" s="20" t="s">
        <v>41</v>
      </c>
      <c r="I24" s="49">
        <f t="shared" si="3"/>
        <v>8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41</v>
      </c>
      <c r="I25" s="48">
        <f t="shared" si="3"/>
        <v>8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47</v>
      </c>
      <c r="I26" s="49">
        <f t="shared" si="3"/>
        <v>8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48</v>
      </c>
      <c r="I27" s="48">
        <f t="shared" si="3"/>
        <v>8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47</v>
      </c>
      <c r="I28" s="49">
        <f t="shared" si="3"/>
        <v>8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41</v>
      </c>
      <c r="I29" s="48">
        <f t="shared" si="3"/>
        <v>8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/>
      <c r="E31" s="17"/>
      <c r="F31" s="17"/>
      <c r="G31" s="17" t="str">
        <f t="shared" si="2"/>
        <v/>
      </c>
      <c r="H31" s="16" t="s">
        <v>48</v>
      </c>
      <c r="I31" s="48">
        <f t="shared" si="3"/>
        <v>8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47</v>
      </c>
      <c r="I32" s="49">
        <f t="shared" si="3"/>
        <v>8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47</v>
      </c>
      <c r="I33" s="48">
        <f t="shared" si="3"/>
        <v>8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48</v>
      </c>
      <c r="I34" s="49">
        <f t="shared" si="3"/>
        <v>8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47</v>
      </c>
      <c r="I35" s="48">
        <f t="shared" si="3"/>
        <v>8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47</v>
      </c>
      <c r="I36" s="49">
        <f t="shared" si="3"/>
        <v>8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4500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4500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63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38.70967741935484</v>
      </c>
      <c r="P3" s="34"/>
    </row>
    <row r="4" spans="1:16" ht="34.799999999999997" x14ac:dyDescent="0.3">
      <c r="A4" s="35" t="s">
        <v>5</v>
      </c>
      <c r="B4" s="58" t="s">
        <v>214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4.838709677419355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40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39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39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41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41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41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41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41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39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41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40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39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39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40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40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41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37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35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40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40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35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1200</v>
      </c>
      <c r="D42" s="14">
        <f>IFERROR(I2/248*1.25*D38, "")</f>
        <v>272.17741935483872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1472.1774193548388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5" width="16.21875" bestFit="1" customWidth="1"/>
    <col min="6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63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38.70967741935484</v>
      </c>
      <c r="P3" s="34"/>
    </row>
    <row r="4" spans="1:16" ht="34.799999999999997" x14ac:dyDescent="0.3">
      <c r="A4" s="35" t="s">
        <v>5</v>
      </c>
      <c r="B4" s="58" t="s">
        <v>215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4.838709677419355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47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47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47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47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47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47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47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47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47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216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47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47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47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>
        <v>4</v>
      </c>
      <c r="F30" s="24"/>
      <c r="G30" s="19" t="str">
        <f t="shared" si="2"/>
        <v/>
      </c>
      <c r="H30" s="20" t="s">
        <v>47</v>
      </c>
      <c r="I30" s="49">
        <f t="shared" si="3"/>
        <v>12</v>
      </c>
      <c r="J30" s="50" t="s">
        <v>217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47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4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1200</v>
      </c>
      <c r="D42" s="14">
        <f>IFERROR(I2/248*1.25*D38, "")</f>
        <v>272.17741935483872</v>
      </c>
      <c r="E42" s="14">
        <f>IFERROR(I2/248*1.5*E38, "")</f>
        <v>29.032258064516128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1501.2096774193549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45"/>
  <sheetViews>
    <sheetView rightToLeft="1" tabSelected="1" topLeftCell="A30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23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63</v>
      </c>
      <c r="P2" s="34"/>
    </row>
    <row r="3" spans="1:16" ht="17.399999999999999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38.70967741935484</v>
      </c>
      <c r="P3" s="34"/>
    </row>
    <row r="4" spans="1:16" ht="17.399999999999999" x14ac:dyDescent="0.3">
      <c r="A4" s="35" t="s">
        <v>5</v>
      </c>
      <c r="B4" s="58" t="s">
        <v>218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4.838709677419355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36</v>
      </c>
      <c r="C7" s="17">
        <v>8</v>
      </c>
      <c r="D7" s="17"/>
      <c r="E7" s="17"/>
      <c r="F7" s="17"/>
      <c r="G7" s="17"/>
      <c r="H7" s="16" t="s">
        <v>146</v>
      </c>
      <c r="I7" s="48">
        <f t="shared" ref="I7:I21" si="0">IFERROR(IF(SUM(C7:G7)&gt;24,"إجمالي &gt; 24 ساعة.",SUM(C7:G7)), "")</f>
        <v>8</v>
      </c>
      <c r="J7" s="50" t="s">
        <v>219</v>
      </c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71</v>
      </c>
      <c r="I8" s="49">
        <f t="shared" si="0"/>
        <v>8</v>
      </c>
      <c r="J8" s="50" t="s">
        <v>220</v>
      </c>
      <c r="K8" s="51"/>
      <c r="L8" s="51"/>
      <c r="M8" s="51"/>
      <c r="N8" s="51"/>
      <c r="O8" s="51"/>
      <c r="P8" s="52"/>
    </row>
    <row r="9" spans="1:16" ht="26.4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203</v>
      </c>
      <c r="I9" s="48">
        <f t="shared" si="0"/>
        <v>8</v>
      </c>
      <c r="J9" s="50" t="s">
        <v>221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38</v>
      </c>
      <c r="C10" s="9">
        <v>8</v>
      </c>
      <c r="D10" s="18"/>
      <c r="E10" s="19"/>
      <c r="F10" s="24"/>
      <c r="G10" s="19" t="str">
        <f t="shared" si="1"/>
        <v/>
      </c>
      <c r="H10" s="20" t="s">
        <v>146</v>
      </c>
      <c r="I10" s="49">
        <f t="shared" si="0"/>
        <v>8</v>
      </c>
      <c r="J10" s="50" t="s">
        <v>100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150</v>
      </c>
      <c r="I11" s="48">
        <f t="shared" si="0"/>
        <v>8</v>
      </c>
      <c r="J11" s="50" t="s">
        <v>164</v>
      </c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150</v>
      </c>
      <c r="I12" s="49">
        <f t="shared" si="0"/>
        <v>8</v>
      </c>
      <c r="J12" s="50" t="s">
        <v>222</v>
      </c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146</v>
      </c>
      <c r="I13" s="48">
        <f t="shared" si="0"/>
        <v>8</v>
      </c>
      <c r="J13" s="50" t="s">
        <v>223</v>
      </c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146</v>
      </c>
      <c r="I14" s="49">
        <f t="shared" si="0"/>
        <v>8</v>
      </c>
      <c r="J14" s="50" t="s">
        <v>224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146</v>
      </c>
      <c r="I15" s="48">
        <f t="shared" si="0"/>
        <v>8</v>
      </c>
      <c r="J15" s="50" t="s">
        <v>225</v>
      </c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150</v>
      </c>
      <c r="I16" s="49">
        <f t="shared" si="0"/>
        <v>8</v>
      </c>
      <c r="J16" s="50" t="s">
        <v>164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/>
      <c r="F17" s="17"/>
      <c r="G17" s="17" t="str">
        <f t="shared" si="1"/>
        <v/>
      </c>
      <c r="H17" s="16" t="s">
        <v>146</v>
      </c>
      <c r="I17" s="48">
        <f t="shared" si="0"/>
        <v>8</v>
      </c>
      <c r="J17" s="50" t="s">
        <v>100</v>
      </c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71</v>
      </c>
      <c r="I18" s="49">
        <f t="shared" si="0"/>
        <v>8</v>
      </c>
      <c r="J18" s="50" t="s">
        <v>226</v>
      </c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71</v>
      </c>
      <c r="I19" s="48">
        <f t="shared" si="0"/>
        <v>8</v>
      </c>
      <c r="J19" s="50" t="s">
        <v>227</v>
      </c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71</v>
      </c>
      <c r="I20" s="49">
        <f t="shared" si="0"/>
        <v>8</v>
      </c>
      <c r="J20" s="50" t="s">
        <v>228</v>
      </c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71</v>
      </c>
      <c r="I21" s="48">
        <f t="shared" si="0"/>
        <v>8</v>
      </c>
      <c r="J21" s="50" t="s">
        <v>229</v>
      </c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41</v>
      </c>
      <c r="I22" s="49">
        <f>IFERROR(IF(SUM(C21:G21)&gt;24,"إجمالي &gt; 24 ساعة.",SUM(C21:G21)), "")</f>
        <v>8</v>
      </c>
      <c r="J22" s="50" t="s">
        <v>230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41</v>
      </c>
      <c r="I23" s="48">
        <f t="shared" ref="I23:I37" si="3">IFERROR(IF(SUM(C23:G23)&gt;24,"إجمالي &gt; 24 ساعة.",SUM(C23:G23)), "")</f>
        <v>8</v>
      </c>
      <c r="J23" s="50" t="s">
        <v>231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146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146</v>
      </c>
      <c r="I25" s="48">
        <f t="shared" si="3"/>
        <v>8</v>
      </c>
      <c r="J25" s="50" t="s">
        <v>232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146</v>
      </c>
      <c r="I26" s="49">
        <f t="shared" si="3"/>
        <v>8</v>
      </c>
      <c r="J26" s="50" t="s">
        <v>233</v>
      </c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150</v>
      </c>
      <c r="I27" s="48">
        <f t="shared" si="3"/>
        <v>8</v>
      </c>
      <c r="J27" s="50" t="s">
        <v>234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1</v>
      </c>
      <c r="E28" s="24"/>
      <c r="F28" s="24"/>
      <c r="G28" s="19" t="str">
        <f t="shared" si="2"/>
        <v/>
      </c>
      <c r="H28" s="20" t="s">
        <v>150</v>
      </c>
      <c r="I28" s="49">
        <f t="shared" si="3"/>
        <v>9</v>
      </c>
      <c r="J28" s="50" t="s">
        <v>235</v>
      </c>
      <c r="K28" s="51"/>
      <c r="L28" s="51"/>
      <c r="M28" s="51"/>
      <c r="N28" s="51"/>
      <c r="O28" s="51"/>
      <c r="P28" s="52"/>
    </row>
    <row r="29" spans="1:16" ht="26.4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236</v>
      </c>
      <c r="I29" s="48">
        <f t="shared" si="3"/>
        <v>8</v>
      </c>
      <c r="J29" s="50" t="s">
        <v>237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150</v>
      </c>
      <c r="I30" s="49">
        <f t="shared" si="3"/>
        <v>8</v>
      </c>
      <c r="J30" s="50" t="s">
        <v>238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>
        <v>1</v>
      </c>
      <c r="F31" s="17"/>
      <c r="G31" s="17" t="str">
        <f t="shared" si="2"/>
        <v/>
      </c>
      <c r="H31" s="16" t="s">
        <v>146</v>
      </c>
      <c r="I31" s="48">
        <f t="shared" si="3"/>
        <v>9</v>
      </c>
      <c r="J31" s="50" t="s">
        <v>100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150</v>
      </c>
      <c r="I32" s="49">
        <f t="shared" si="3"/>
        <v>8</v>
      </c>
      <c r="J32" s="50" t="s">
        <v>239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150</v>
      </c>
      <c r="I33" s="48">
        <f t="shared" si="3"/>
        <v>8</v>
      </c>
      <c r="J33" s="50" t="s">
        <v>240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146</v>
      </c>
      <c r="I34" s="49">
        <f t="shared" si="3"/>
        <v>8</v>
      </c>
      <c r="J34" s="50" t="s">
        <v>241</v>
      </c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146</v>
      </c>
      <c r="I35" s="48">
        <f t="shared" si="3"/>
        <v>8</v>
      </c>
      <c r="J35" s="50" t="s">
        <v>164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150</v>
      </c>
      <c r="I36" s="49">
        <f t="shared" si="3"/>
        <v>8</v>
      </c>
      <c r="J36" s="50" t="s">
        <v>242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41</v>
      </c>
      <c r="I37" s="48">
        <f t="shared" si="3"/>
        <v>8</v>
      </c>
      <c r="J37" s="50" t="s">
        <v>243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1</v>
      </c>
      <c r="E38" s="22">
        <f>IFERROR(SUM(E7:E37), "")</f>
        <v>1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1200</v>
      </c>
      <c r="D42" s="14">
        <f>IFERROR(I2/248*1.25*D38, "")</f>
        <v>6.0483870967741939</v>
      </c>
      <c r="E42" s="14">
        <f>IFERROR(I2/248*1.5*E38, "")</f>
        <v>7.258064516129032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1213.3064516129032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1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45"/>
  <sheetViews>
    <sheetView rightToLeft="1" tabSelected="1" topLeftCell="A2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5" width="16.21875" bestFit="1" customWidth="1"/>
    <col min="6" max="6" width="15.6640625" bestFit="1" customWidth="1"/>
    <col min="7" max="7" width="21.6640625" bestFit="1" customWidth="1"/>
    <col min="8" max="8" width="23.4414062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17.399999999999999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56</v>
      </c>
      <c r="P2" s="34"/>
    </row>
    <row r="3" spans="1:16" ht="17.399999999999999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48.387096774193552</v>
      </c>
      <c r="P3" s="34"/>
    </row>
    <row r="4" spans="1:16" ht="17.399999999999999" x14ac:dyDescent="0.3">
      <c r="A4" s="35" t="s">
        <v>5</v>
      </c>
      <c r="B4" s="58" t="s">
        <v>244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6.0483870967741939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36</v>
      </c>
      <c r="C7" s="17">
        <v>8</v>
      </c>
      <c r="D7" s="17"/>
      <c r="E7" s="17"/>
      <c r="F7" s="17"/>
      <c r="G7" s="17"/>
      <c r="H7" s="16" t="s">
        <v>146</v>
      </c>
      <c r="I7" s="48">
        <f t="shared" ref="I7:I21" si="0">IFERROR(IF(SUM(C7:G7)&gt;24,"إجمالي &gt; 24 ساعة.",SUM(C7:G7)), "")</f>
        <v>8</v>
      </c>
      <c r="J7" s="50" t="s">
        <v>245</v>
      </c>
      <c r="K7" s="51"/>
      <c r="L7" s="51"/>
      <c r="M7" s="51"/>
      <c r="N7" s="51"/>
      <c r="O7" s="51"/>
      <c r="P7" s="52"/>
    </row>
    <row r="8" spans="1:16" ht="26.4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246</v>
      </c>
      <c r="I8" s="49">
        <f t="shared" si="0"/>
        <v>8</v>
      </c>
      <c r="J8" s="50" t="s">
        <v>247</v>
      </c>
      <c r="K8" s="51"/>
      <c r="L8" s="51"/>
      <c r="M8" s="51"/>
      <c r="N8" s="51"/>
      <c r="O8" s="51"/>
      <c r="P8" s="52"/>
    </row>
    <row r="9" spans="1:16" ht="26.4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178</v>
      </c>
      <c r="I9" s="48">
        <f t="shared" si="0"/>
        <v>8</v>
      </c>
      <c r="J9" s="50" t="s">
        <v>248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38</v>
      </c>
      <c r="C10" s="9">
        <v>8</v>
      </c>
      <c r="D10" s="18"/>
      <c r="E10" s="19">
        <v>2</v>
      </c>
      <c r="F10" s="24"/>
      <c r="G10" s="19" t="str">
        <f t="shared" si="1"/>
        <v/>
      </c>
      <c r="H10" s="20" t="s">
        <v>146</v>
      </c>
      <c r="I10" s="49">
        <f t="shared" si="0"/>
        <v>10</v>
      </c>
      <c r="J10" s="50" t="s">
        <v>249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150</v>
      </c>
      <c r="I11" s="48">
        <f t="shared" si="0"/>
        <v>8</v>
      </c>
      <c r="J11" s="50" t="s">
        <v>250</v>
      </c>
      <c r="K11" s="51"/>
      <c r="L11" s="51"/>
      <c r="M11" s="51"/>
      <c r="N11" s="51"/>
      <c r="O11" s="51"/>
      <c r="P11" s="52"/>
    </row>
    <row r="12" spans="1:16" ht="26.4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251</v>
      </c>
      <c r="I12" s="49">
        <f t="shared" si="0"/>
        <v>8</v>
      </c>
      <c r="J12" s="50" t="s">
        <v>252</v>
      </c>
      <c r="K12" s="51"/>
      <c r="L12" s="51"/>
      <c r="M12" s="51"/>
      <c r="N12" s="51"/>
      <c r="O12" s="51"/>
      <c r="P12" s="52"/>
    </row>
    <row r="13" spans="1:16" ht="26.4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81</v>
      </c>
      <c r="I13" s="48">
        <f t="shared" si="0"/>
        <v>8</v>
      </c>
      <c r="J13" s="50" t="s">
        <v>253</v>
      </c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146</v>
      </c>
      <c r="I14" s="49">
        <f t="shared" si="0"/>
        <v>8</v>
      </c>
      <c r="J14" s="50" t="s">
        <v>250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146</v>
      </c>
      <c r="I15" s="48">
        <f t="shared" si="0"/>
        <v>8</v>
      </c>
      <c r="J15" s="50" t="s">
        <v>254</v>
      </c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150</v>
      </c>
      <c r="I16" s="49">
        <f t="shared" si="0"/>
        <v>8</v>
      </c>
      <c r="J16" s="50" t="s">
        <v>255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>
        <v>1</v>
      </c>
      <c r="F17" s="17"/>
      <c r="G17" s="17" t="str">
        <f t="shared" si="1"/>
        <v/>
      </c>
      <c r="H17" s="16" t="s">
        <v>150</v>
      </c>
      <c r="I17" s="48">
        <f t="shared" si="0"/>
        <v>9</v>
      </c>
      <c r="J17" s="50" t="s">
        <v>256</v>
      </c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41</v>
      </c>
      <c r="I18" s="49">
        <f t="shared" si="0"/>
        <v>8</v>
      </c>
      <c r="J18" s="50" t="s">
        <v>257</v>
      </c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146</v>
      </c>
      <c r="I19" s="48">
        <f t="shared" si="0"/>
        <v>8</v>
      </c>
      <c r="J19" s="50" t="s">
        <v>258</v>
      </c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150</v>
      </c>
      <c r="I20" s="49">
        <f t="shared" si="0"/>
        <v>8</v>
      </c>
      <c r="J20" s="50" t="s">
        <v>259</v>
      </c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260</v>
      </c>
      <c r="I21" s="48">
        <f t="shared" si="0"/>
        <v>8</v>
      </c>
      <c r="J21" s="50" t="s">
        <v>261</v>
      </c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41</v>
      </c>
      <c r="I22" s="49">
        <f>IFERROR(IF(SUM(C21:G21)&gt;24,"إجمالي &gt; 24 ساعة.",SUM(C21:G21)), "")</f>
        <v>8</v>
      </c>
      <c r="J22" s="50" t="s">
        <v>262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146</v>
      </c>
      <c r="I23" s="48">
        <f t="shared" ref="I23:I37" si="3">IFERROR(IF(SUM(C23:G23)&gt;24,"إجمالي &gt; 24 ساعة.",SUM(C23:G23)), "")</f>
        <v>8</v>
      </c>
      <c r="J23" s="50" t="s">
        <v>164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146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146</v>
      </c>
      <c r="I25" s="48">
        <f t="shared" si="3"/>
        <v>8</v>
      </c>
      <c r="J25" s="50" t="s">
        <v>263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146</v>
      </c>
      <c r="I26" s="49">
        <f t="shared" si="3"/>
        <v>8</v>
      </c>
      <c r="J26" s="50" t="s">
        <v>264</v>
      </c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150</v>
      </c>
      <c r="I27" s="48">
        <f t="shared" si="3"/>
        <v>8</v>
      </c>
      <c r="J27" s="50" t="s">
        <v>265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1</v>
      </c>
      <c r="E28" s="24"/>
      <c r="F28" s="24"/>
      <c r="G28" s="19" t="str">
        <f t="shared" si="2"/>
        <v/>
      </c>
      <c r="H28" s="20" t="s">
        <v>150</v>
      </c>
      <c r="I28" s="49">
        <f t="shared" si="3"/>
        <v>9</v>
      </c>
      <c r="J28" s="50" t="s">
        <v>266</v>
      </c>
      <c r="K28" s="51"/>
      <c r="L28" s="51"/>
      <c r="M28" s="51"/>
      <c r="N28" s="51"/>
      <c r="O28" s="51"/>
      <c r="P28" s="52"/>
    </row>
    <row r="29" spans="1:16" ht="26.4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267</v>
      </c>
      <c r="I29" s="48">
        <f t="shared" si="3"/>
        <v>8</v>
      </c>
      <c r="J29" s="50" t="s">
        <v>268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150</v>
      </c>
      <c r="I30" s="49">
        <f t="shared" si="3"/>
        <v>8</v>
      </c>
      <c r="J30" s="50" t="s">
        <v>269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>
        <v>2</v>
      </c>
      <c r="F31" s="17"/>
      <c r="G31" s="17" t="str">
        <f t="shared" si="2"/>
        <v/>
      </c>
      <c r="H31" s="16" t="s">
        <v>146</v>
      </c>
      <c r="I31" s="48">
        <f t="shared" si="3"/>
        <v>10</v>
      </c>
      <c r="J31" s="50" t="s">
        <v>270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150</v>
      </c>
      <c r="I32" s="49">
        <f t="shared" si="3"/>
        <v>8</v>
      </c>
      <c r="J32" s="50" t="s">
        <v>271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146</v>
      </c>
      <c r="I33" s="48">
        <f t="shared" si="3"/>
        <v>8</v>
      </c>
      <c r="J33" s="50" t="s">
        <v>272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146</v>
      </c>
      <c r="I34" s="49">
        <f t="shared" si="3"/>
        <v>8</v>
      </c>
      <c r="J34" s="50" t="s">
        <v>241</v>
      </c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146</v>
      </c>
      <c r="I35" s="48">
        <f t="shared" si="3"/>
        <v>8</v>
      </c>
      <c r="J35" s="50" t="s">
        <v>273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150</v>
      </c>
      <c r="I36" s="49">
        <f t="shared" si="3"/>
        <v>8</v>
      </c>
      <c r="J36" s="50" t="s">
        <v>274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150</v>
      </c>
      <c r="I37" s="48">
        <f t="shared" si="3"/>
        <v>8</v>
      </c>
      <c r="J37" s="50" t="s">
        <v>275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1</v>
      </c>
      <c r="E38" s="22">
        <f>IFERROR(SUM(E7:E37), "")</f>
        <v>5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1500</v>
      </c>
      <c r="D42" s="14">
        <f>IFERROR(I2/248*1.25*D38, "")</f>
        <v>7.560483870967742</v>
      </c>
      <c r="E42" s="14">
        <f>IFERROR(I2/248*1.5*E38, "")</f>
        <v>45.362903225806463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1552.9233870967741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1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45"/>
  <sheetViews>
    <sheetView rightToLeft="1" tabSelected="1" topLeftCell="A27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276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29.032258064516128</v>
      </c>
      <c r="P3" s="34"/>
    </row>
    <row r="4" spans="1:16" ht="34.799999999999997" x14ac:dyDescent="0.3">
      <c r="A4" s="35" t="s">
        <v>5</v>
      </c>
      <c r="B4" s="58" t="s">
        <v>277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3.629032258064516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37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37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37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37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37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37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37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37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37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37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37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37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37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37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37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37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37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37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37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37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37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37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37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900</v>
      </c>
      <c r="D42" s="14">
        <f>IFERROR(I2/248*1.25*D38, "")</f>
        <v>204.13306451612902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1104.133064516129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P45"/>
  <sheetViews>
    <sheetView rightToLeft="1" tabSelected="1" topLeftCell="A3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276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29.032258064516128</v>
      </c>
      <c r="P3" s="34"/>
    </row>
    <row r="4" spans="1:16" ht="34.799999999999997" x14ac:dyDescent="0.3">
      <c r="A4" s="35" t="s">
        <v>5</v>
      </c>
      <c r="B4" s="58" t="s">
        <v>278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3.629032258064516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37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37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37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37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37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40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48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39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47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47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41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48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48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48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41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41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48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48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900</v>
      </c>
      <c r="D42" s="14">
        <f>IFERROR(I2/248*1.25*D38, "")</f>
        <v>204.13306451612902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1104.133064516129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P45"/>
  <sheetViews>
    <sheetView rightToLeft="1" tabSelected="1" topLeftCell="A3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18.66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276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29.032258064516128</v>
      </c>
      <c r="P3" s="34"/>
    </row>
    <row r="4" spans="1:16" ht="34.799999999999997" x14ac:dyDescent="0.3">
      <c r="A4" s="35" t="s">
        <v>5</v>
      </c>
      <c r="B4" s="58" t="s">
        <v>279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3.629032258064516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47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47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47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39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40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40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40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47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47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41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47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47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47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47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47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900</v>
      </c>
      <c r="D42" s="14">
        <f>IFERROR(I2/248*1.25*D38, "")</f>
        <v>204.13306451612902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1104.133064516129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P45"/>
  <sheetViews>
    <sheetView rightToLeft="1" tabSelected="1" topLeftCell="A27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5" width="16.21875" bestFit="1" customWidth="1"/>
    <col min="6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60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35.483870967741936</v>
      </c>
      <c r="P3" s="34"/>
    </row>
    <row r="4" spans="1:16" ht="34.799999999999997" x14ac:dyDescent="0.3">
      <c r="A4" s="35" t="s">
        <v>5</v>
      </c>
      <c r="B4" s="58" t="s">
        <v>280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4.435483870967742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40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35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35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39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39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40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41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41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39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39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39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41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37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39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39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39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39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40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40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40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37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39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>
        <v>4</v>
      </c>
      <c r="F30" s="24"/>
      <c r="G30" s="19" t="str">
        <f t="shared" si="2"/>
        <v/>
      </c>
      <c r="H30" s="20" t="s">
        <v>39</v>
      </c>
      <c r="I30" s="49">
        <f t="shared" si="3"/>
        <v>12</v>
      </c>
      <c r="J30" s="50" t="s">
        <v>62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40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39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39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40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37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39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39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4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1100</v>
      </c>
      <c r="D42" s="14">
        <f>IFERROR(I2/248*1.25*D38, "")</f>
        <v>249.49596774193552</v>
      </c>
      <c r="E42" s="14">
        <f>IFERROR(I2/248*1.5*E38, "")</f>
        <v>26.612903225806452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1376.108870967742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45"/>
  <sheetViews>
    <sheetView rightToLeft="1" tabSelected="1" topLeftCell="A29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65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32.258064516129032</v>
      </c>
      <c r="P3" s="34"/>
    </row>
    <row r="4" spans="1:16" ht="34.799999999999997" x14ac:dyDescent="0.3">
      <c r="A4" s="35" t="s">
        <v>5</v>
      </c>
      <c r="B4" s="58" t="s">
        <v>281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4.032258064516129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34</v>
      </c>
      <c r="C7" s="17">
        <v>8</v>
      </c>
      <c r="D7" s="17">
        <v>1</v>
      </c>
      <c r="E7" s="17"/>
      <c r="F7" s="17"/>
      <c r="G7" s="17"/>
      <c r="H7" s="16" t="s">
        <v>47</v>
      </c>
      <c r="I7" s="48">
        <f t="shared" ref="I7:I21" si="0">IFERROR(IF(SUM(C7:G7)&gt;24,"إجمالي &gt; 24 ساعة.",SUM(C7:G7)), "")</f>
        <v>9</v>
      </c>
      <c r="J7" s="50"/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36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35</v>
      </c>
      <c r="I8" s="49">
        <f t="shared" si="0"/>
        <v>8</v>
      </c>
      <c r="J8" s="50"/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38</v>
      </c>
      <c r="C9" s="17">
        <v>8</v>
      </c>
      <c r="D9" s="17"/>
      <c r="E9" s="17"/>
      <c r="F9" s="17"/>
      <c r="G9" s="17" t="str">
        <f t="shared" si="1"/>
        <v/>
      </c>
      <c r="H9" s="16" t="s">
        <v>35</v>
      </c>
      <c r="I9" s="48">
        <f t="shared" si="0"/>
        <v>8</v>
      </c>
      <c r="J9" s="50"/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34</v>
      </c>
      <c r="C10" s="9">
        <v>8</v>
      </c>
      <c r="D10" s="18">
        <v>2</v>
      </c>
      <c r="E10" s="19"/>
      <c r="F10" s="24"/>
      <c r="G10" s="19" t="str">
        <f t="shared" si="1"/>
        <v/>
      </c>
      <c r="H10" s="20" t="s">
        <v>47</v>
      </c>
      <c r="I10" s="49">
        <f t="shared" si="0"/>
        <v>10</v>
      </c>
      <c r="J10" s="50"/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>
        <v>2</v>
      </c>
      <c r="E11" s="17"/>
      <c r="F11" s="17"/>
      <c r="G11" s="17" t="str">
        <f t="shared" si="1"/>
        <v/>
      </c>
      <c r="H11" s="16" t="s">
        <v>47</v>
      </c>
      <c r="I11" s="48">
        <f t="shared" si="0"/>
        <v>10</v>
      </c>
      <c r="J11" s="50"/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>
        <v>2</v>
      </c>
      <c r="E12" s="19"/>
      <c r="F12" s="24"/>
      <c r="G12" s="19" t="str">
        <f t="shared" si="1"/>
        <v/>
      </c>
      <c r="H12" s="20" t="s">
        <v>47</v>
      </c>
      <c r="I12" s="49">
        <f t="shared" si="0"/>
        <v>10</v>
      </c>
      <c r="J12" s="50"/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>
        <v>2</v>
      </c>
      <c r="E13" s="17"/>
      <c r="F13" s="17"/>
      <c r="G13" s="17" t="str">
        <f t="shared" si="1"/>
        <v/>
      </c>
      <c r="H13" s="16" t="s">
        <v>47</v>
      </c>
      <c r="I13" s="48">
        <f t="shared" si="0"/>
        <v>10</v>
      </c>
      <c r="J13" s="50"/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>
        <v>2</v>
      </c>
      <c r="E14" s="24"/>
      <c r="F14" s="24"/>
      <c r="G14" s="19" t="str">
        <f t="shared" si="1"/>
        <v/>
      </c>
      <c r="H14" s="20" t="s">
        <v>47</v>
      </c>
      <c r="I14" s="49">
        <f t="shared" si="0"/>
        <v>10</v>
      </c>
      <c r="J14" s="50"/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>
        <v>1</v>
      </c>
      <c r="E15" s="17"/>
      <c r="F15" s="17"/>
      <c r="G15" s="17" t="str">
        <f t="shared" si="1"/>
        <v/>
      </c>
      <c r="H15" s="16" t="s">
        <v>47</v>
      </c>
      <c r="I15" s="48">
        <f t="shared" si="0"/>
        <v>9</v>
      </c>
      <c r="J15" s="50"/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38</v>
      </c>
      <c r="C16" s="9">
        <v>8</v>
      </c>
      <c r="D16" s="18"/>
      <c r="E16" s="24"/>
      <c r="F16" s="24"/>
      <c r="G16" s="19" t="str">
        <f t="shared" si="1"/>
        <v/>
      </c>
      <c r="H16" s="20" t="s">
        <v>39</v>
      </c>
      <c r="I16" s="49">
        <f t="shared" si="0"/>
        <v>8</v>
      </c>
      <c r="J16" s="50"/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34</v>
      </c>
      <c r="C17" s="17">
        <v>8</v>
      </c>
      <c r="D17" s="17">
        <v>2</v>
      </c>
      <c r="E17" s="17"/>
      <c r="F17" s="17"/>
      <c r="G17" s="17" t="str">
        <f t="shared" si="1"/>
        <v/>
      </c>
      <c r="H17" s="16" t="s">
        <v>48</v>
      </c>
      <c r="I17" s="48">
        <f t="shared" si="0"/>
        <v>10</v>
      </c>
      <c r="J17" s="50"/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>
        <v>2</v>
      </c>
      <c r="E18" s="24"/>
      <c r="F18" s="24"/>
      <c r="G18" s="19" t="str">
        <f t="shared" si="1"/>
        <v/>
      </c>
      <c r="H18" s="20" t="s">
        <v>47</v>
      </c>
      <c r="I18" s="49">
        <f t="shared" si="0"/>
        <v>10</v>
      </c>
      <c r="J18" s="50"/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>
        <v>2</v>
      </c>
      <c r="E19" s="17"/>
      <c r="F19" s="17"/>
      <c r="G19" s="17" t="str">
        <f t="shared" si="1"/>
        <v/>
      </c>
      <c r="H19" s="16" t="s">
        <v>39</v>
      </c>
      <c r="I19" s="48">
        <f t="shared" si="0"/>
        <v>10</v>
      </c>
      <c r="J19" s="50"/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>
        <v>2</v>
      </c>
      <c r="E20" s="24"/>
      <c r="F20" s="24"/>
      <c r="G20" s="19" t="str">
        <f t="shared" si="1"/>
        <v/>
      </c>
      <c r="H20" s="20" t="s">
        <v>47</v>
      </c>
      <c r="I20" s="49">
        <f t="shared" si="0"/>
        <v>10</v>
      </c>
      <c r="J20" s="50"/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>
        <v>2</v>
      </c>
      <c r="E21" s="17"/>
      <c r="F21" s="17"/>
      <c r="G21" s="17" t="str">
        <f t="shared" si="1"/>
        <v/>
      </c>
      <c r="H21" s="16" t="s">
        <v>47</v>
      </c>
      <c r="I21" s="48">
        <f t="shared" si="0"/>
        <v>10</v>
      </c>
      <c r="J21" s="50"/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>
        <v>1</v>
      </c>
      <c r="E22" s="24"/>
      <c r="F22" s="24"/>
      <c r="G22" s="19" t="str">
        <f>IF(B21="SL","SL","")</f>
        <v/>
      </c>
      <c r="H22" s="20" t="s">
        <v>216</v>
      </c>
      <c r="I22" s="49">
        <f>IFERROR(IF(SUM(C21:G21)&gt;24,"إجمالي &gt; 24 ساعة.",SUM(C21:G21)), "")</f>
        <v>10</v>
      </c>
      <c r="J22" s="50"/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38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47</v>
      </c>
      <c r="I23" s="48">
        <f t="shared" ref="I23:I37" si="3">IFERROR(IF(SUM(C23:G23)&gt;24,"إجمالي &gt; 24 ساعة.",SUM(C23:G23)), "")</f>
        <v>8</v>
      </c>
      <c r="J23" s="50"/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34</v>
      </c>
      <c r="C24" s="9">
        <v>8</v>
      </c>
      <c r="D24" s="18">
        <v>2</v>
      </c>
      <c r="E24" s="24"/>
      <c r="F24" s="24"/>
      <c r="G24" s="19" t="str">
        <f t="shared" si="2"/>
        <v/>
      </c>
      <c r="H24" s="20" t="s">
        <v>47</v>
      </c>
      <c r="I24" s="49">
        <f t="shared" si="3"/>
        <v>10</v>
      </c>
      <c r="J24" s="50"/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>
        <v>2</v>
      </c>
      <c r="E25" s="17"/>
      <c r="F25" s="17"/>
      <c r="G25" s="17" t="str">
        <f t="shared" si="2"/>
        <v/>
      </c>
      <c r="H25" s="16" t="s">
        <v>47</v>
      </c>
      <c r="I25" s="48">
        <f t="shared" si="3"/>
        <v>10</v>
      </c>
      <c r="J25" s="50"/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>
        <v>2</v>
      </c>
      <c r="E26" s="24"/>
      <c r="F26" s="24"/>
      <c r="G26" s="19" t="str">
        <f t="shared" si="2"/>
        <v/>
      </c>
      <c r="H26" s="20" t="s">
        <v>47</v>
      </c>
      <c r="I26" s="49">
        <f t="shared" si="3"/>
        <v>10</v>
      </c>
      <c r="J26" s="50"/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>
        <v>2</v>
      </c>
      <c r="E27" s="17"/>
      <c r="F27" s="17"/>
      <c r="G27" s="17" t="str">
        <f t="shared" si="2"/>
        <v/>
      </c>
      <c r="H27" s="16" t="s">
        <v>41</v>
      </c>
      <c r="I27" s="48">
        <f t="shared" si="3"/>
        <v>10</v>
      </c>
      <c r="J27" s="50"/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>
        <v>2</v>
      </c>
      <c r="E28" s="24"/>
      <c r="F28" s="24"/>
      <c r="G28" s="19" t="str">
        <f t="shared" si="2"/>
        <v/>
      </c>
      <c r="H28" s="20" t="s">
        <v>47</v>
      </c>
      <c r="I28" s="49">
        <f t="shared" si="3"/>
        <v>10</v>
      </c>
      <c r="J28" s="50"/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>
        <v>1</v>
      </c>
      <c r="E29" s="17"/>
      <c r="F29" s="17"/>
      <c r="G29" s="17" t="str">
        <f t="shared" si="2"/>
        <v/>
      </c>
      <c r="H29" s="16" t="s">
        <v>47</v>
      </c>
      <c r="I29" s="48">
        <f t="shared" si="3"/>
        <v>9</v>
      </c>
      <c r="J29" s="50"/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38</v>
      </c>
      <c r="C30" s="9">
        <v>8</v>
      </c>
      <c r="D30" s="18"/>
      <c r="E30" s="24"/>
      <c r="F30" s="24"/>
      <c r="G30" s="19" t="str">
        <f t="shared" si="2"/>
        <v/>
      </c>
      <c r="H30" s="20" t="s">
        <v>47</v>
      </c>
      <c r="I30" s="49">
        <f t="shared" si="3"/>
        <v>8</v>
      </c>
      <c r="J30" s="50"/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34</v>
      </c>
      <c r="C31" s="17">
        <v>8</v>
      </c>
      <c r="D31" s="17">
        <v>2</v>
      </c>
      <c r="E31" s="17"/>
      <c r="F31" s="17"/>
      <c r="G31" s="17" t="str">
        <f t="shared" si="2"/>
        <v/>
      </c>
      <c r="H31" s="16" t="s">
        <v>47</v>
      </c>
      <c r="I31" s="48">
        <f t="shared" si="3"/>
        <v>10</v>
      </c>
      <c r="J31" s="50"/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>
        <v>2</v>
      </c>
      <c r="E32" s="24"/>
      <c r="F32" s="24"/>
      <c r="G32" s="19" t="str">
        <f t="shared" si="2"/>
        <v/>
      </c>
      <c r="H32" s="20" t="s">
        <v>47</v>
      </c>
      <c r="I32" s="49">
        <f t="shared" si="3"/>
        <v>10</v>
      </c>
      <c r="J32" s="50"/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>
        <v>2</v>
      </c>
      <c r="E33" s="17"/>
      <c r="F33" s="17"/>
      <c r="G33" s="17" t="str">
        <f t="shared" si="2"/>
        <v/>
      </c>
      <c r="H33" s="16" t="s">
        <v>47</v>
      </c>
      <c r="I33" s="48">
        <f t="shared" si="3"/>
        <v>10</v>
      </c>
      <c r="J33" s="50"/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>
        <v>2</v>
      </c>
      <c r="E34" s="24"/>
      <c r="F34" s="24"/>
      <c r="G34" s="19" t="str">
        <f t="shared" si="2"/>
        <v/>
      </c>
      <c r="H34" s="20" t="s">
        <v>47</v>
      </c>
      <c r="I34" s="49">
        <f t="shared" si="3"/>
        <v>10</v>
      </c>
      <c r="J34" s="50"/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>
        <v>2</v>
      </c>
      <c r="E35" s="17"/>
      <c r="F35" s="17"/>
      <c r="G35" s="17" t="str">
        <f t="shared" si="2"/>
        <v/>
      </c>
      <c r="H35" s="16" t="s">
        <v>47</v>
      </c>
      <c r="I35" s="48">
        <f t="shared" si="3"/>
        <v>10</v>
      </c>
      <c r="J35" s="50"/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>
        <v>1</v>
      </c>
      <c r="E36" s="24"/>
      <c r="F36" s="24"/>
      <c r="G36" s="19"/>
      <c r="H36" s="20" t="s">
        <v>47</v>
      </c>
      <c r="I36" s="49">
        <f t="shared" si="3"/>
        <v>9</v>
      </c>
      <c r="J36" s="50"/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38</v>
      </c>
      <c r="C37" s="17">
        <v>8</v>
      </c>
      <c r="D37" s="17"/>
      <c r="E37" s="17"/>
      <c r="F37" s="17"/>
      <c r="G37" s="17"/>
      <c r="H37" s="16" t="s">
        <v>47</v>
      </c>
      <c r="I37" s="48">
        <f t="shared" si="3"/>
        <v>8</v>
      </c>
      <c r="J37" s="50"/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45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1000</v>
      </c>
      <c r="D42" s="14">
        <f>IFERROR(I2/248*1.25*D38, "")</f>
        <v>226.81451612903226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1226.8145161290322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45"/>
  <sheetViews>
    <sheetView rightToLeft="1" tabSelected="1" workbookViewId="0">
      <selection sqref="A1:XFD1048576"/>
    </sheetView>
  </sheetViews>
  <sheetFormatPr defaultColWidth="8.77734375" defaultRowHeight="14.4" x14ac:dyDescent="0.3"/>
  <cols>
    <col min="1" max="2" width="17.6640625" bestFit="1" customWidth="1"/>
    <col min="3" max="3" width="20.44140625" bestFit="1" customWidth="1"/>
    <col min="4" max="4" width="19.88671875" bestFit="1" customWidth="1"/>
    <col min="5" max="6" width="15.6640625" bestFit="1" customWidth="1"/>
    <col min="7" max="7" width="21.6640625" bestFit="1" customWidth="1"/>
    <col min="8" max="8" width="17.88671875" bestFit="1" customWidth="1"/>
    <col min="9" max="9" width="17" bestFit="1" customWidth="1"/>
    <col min="10" max="75" width="8.77734375" customWidth="1"/>
  </cols>
  <sheetData>
    <row r="1" spans="1:16" ht="31.8" x14ac:dyDescent="0.3">
      <c r="A1" s="59"/>
      <c r="B1" s="60"/>
      <c r="C1" s="60"/>
      <c r="D1" s="62" t="s">
        <v>0</v>
      </c>
      <c r="E1" s="60"/>
      <c r="F1" s="67"/>
      <c r="G1" s="60"/>
      <c r="H1" s="60"/>
      <c r="I1" s="60"/>
      <c r="J1" s="31"/>
      <c r="K1" s="31"/>
      <c r="L1" s="31"/>
      <c r="M1" s="31"/>
      <c r="N1" s="31"/>
      <c r="O1" s="31"/>
      <c r="P1" s="32"/>
    </row>
    <row r="2" spans="1:16" ht="34.799999999999997" x14ac:dyDescent="0.3">
      <c r="A2" s="61"/>
      <c r="B2" s="57"/>
      <c r="C2" s="57"/>
      <c r="D2" s="56"/>
      <c r="E2" s="1" t="s">
        <v>1</v>
      </c>
      <c r="F2" s="33">
        <v>46023</v>
      </c>
      <c r="G2" s="54"/>
      <c r="H2" s="2" t="s">
        <v>2</v>
      </c>
      <c r="I2" s="3" t="s">
        <v>51</v>
      </c>
      <c r="P2" s="34"/>
    </row>
    <row r="3" spans="1:16" ht="34.799999999999997" x14ac:dyDescent="0.3">
      <c r="A3" s="61"/>
      <c r="B3" s="57"/>
      <c r="C3" s="57"/>
      <c r="D3" s="57"/>
      <c r="E3" s="1" t="s">
        <v>3</v>
      </c>
      <c r="F3" s="33">
        <v>46053</v>
      </c>
      <c r="G3" s="55"/>
      <c r="H3" s="2" t="s">
        <v>4</v>
      </c>
      <c r="I3" s="4">
        <f>I2/DAY(EOMONTH(F3, 0))</f>
        <v>45.161290322580648</v>
      </c>
      <c r="P3" s="34"/>
    </row>
    <row r="4" spans="1:16" ht="34.799999999999997" x14ac:dyDescent="0.3">
      <c r="A4" s="35" t="s">
        <v>5</v>
      </c>
      <c r="B4" s="58" t="s">
        <v>282</v>
      </c>
      <c r="C4" s="57"/>
      <c r="D4" s="57"/>
      <c r="E4" s="2" t="s">
        <v>7</v>
      </c>
      <c r="F4" s="36" t="s">
        <v>8</v>
      </c>
      <c r="G4" s="55"/>
      <c r="H4" s="2" t="s">
        <v>9</v>
      </c>
      <c r="I4" s="5">
        <f>I3/8</f>
        <v>5.645161290322581</v>
      </c>
      <c r="P4" s="34"/>
    </row>
    <row r="5" spans="1:16" ht="17.399999999999999" x14ac:dyDescent="0.3">
      <c r="A5" s="68"/>
      <c r="B5" s="69"/>
      <c r="C5" s="69"/>
      <c r="D5" s="69"/>
      <c r="E5" s="69"/>
      <c r="F5" s="69"/>
      <c r="G5" s="69"/>
      <c r="H5" s="69"/>
      <c r="I5" s="69"/>
      <c r="P5" s="34"/>
    </row>
    <row r="6" spans="1:16" ht="69.599999999999994" x14ac:dyDescent="0.3">
      <c r="A6" s="37" t="s">
        <v>10</v>
      </c>
      <c r="B6" s="6" t="s">
        <v>11</v>
      </c>
      <c r="C6" s="6" t="s">
        <v>12</v>
      </c>
      <c r="D6" s="7" t="s">
        <v>13</v>
      </c>
      <c r="E6" s="7" t="s">
        <v>14</v>
      </c>
      <c r="F6" s="8" t="s">
        <v>15</v>
      </c>
      <c r="G6" s="6" t="s">
        <v>16</v>
      </c>
      <c r="H6" s="6" t="s">
        <v>17</v>
      </c>
      <c r="I6" s="6" t="s">
        <v>18</v>
      </c>
      <c r="P6" s="34"/>
    </row>
    <row r="7" spans="1:16" ht="17.399999999999999" x14ac:dyDescent="0.3">
      <c r="A7" s="38">
        <v>46023</v>
      </c>
      <c r="B7" s="17" t="s">
        <v>36</v>
      </c>
      <c r="C7" s="17">
        <v>8</v>
      </c>
      <c r="D7" s="17"/>
      <c r="E7" s="17"/>
      <c r="F7" s="17"/>
      <c r="G7" s="17"/>
      <c r="H7" s="16" t="s">
        <v>71</v>
      </c>
      <c r="I7" s="48">
        <f t="shared" ref="I7:I21" si="0">IFERROR(IF(SUM(C7:G7)&gt;24,"إجمالي &gt; 24 ساعة.",SUM(C7:G7)), "")</f>
        <v>8</v>
      </c>
      <c r="J7" s="50" t="s">
        <v>283</v>
      </c>
      <c r="K7" s="51"/>
      <c r="L7" s="51"/>
      <c r="M7" s="51"/>
      <c r="N7" s="51"/>
      <c r="O7" s="51"/>
      <c r="P7" s="52"/>
    </row>
    <row r="8" spans="1:16" ht="20.399999999999999" x14ac:dyDescent="0.3">
      <c r="A8" s="39">
        <v>46024</v>
      </c>
      <c r="B8" s="18" t="s">
        <v>34</v>
      </c>
      <c r="C8" s="9">
        <v>8</v>
      </c>
      <c r="D8" s="18"/>
      <c r="E8" s="19"/>
      <c r="F8" s="24"/>
      <c r="G8" s="19" t="str">
        <f t="shared" ref="G8:G21" si="1">IF(B8="SL","SL","")</f>
        <v/>
      </c>
      <c r="H8" s="20" t="s">
        <v>175</v>
      </c>
      <c r="I8" s="49">
        <f t="shared" si="0"/>
        <v>8</v>
      </c>
      <c r="J8" s="50" t="s">
        <v>164</v>
      </c>
      <c r="K8" s="51"/>
      <c r="L8" s="51"/>
      <c r="M8" s="51"/>
      <c r="N8" s="51"/>
      <c r="O8" s="51"/>
      <c r="P8" s="52"/>
    </row>
    <row r="9" spans="1:16" ht="17.399999999999999" x14ac:dyDescent="0.3">
      <c r="A9" s="38">
        <v>46025</v>
      </c>
      <c r="B9" s="17" t="s">
        <v>34</v>
      </c>
      <c r="C9" s="17">
        <v>8</v>
      </c>
      <c r="D9" s="17"/>
      <c r="E9" s="17"/>
      <c r="F9" s="17"/>
      <c r="G9" s="17" t="str">
        <f t="shared" si="1"/>
        <v/>
      </c>
      <c r="H9" s="16" t="s">
        <v>71</v>
      </c>
      <c r="I9" s="48">
        <f t="shared" si="0"/>
        <v>8</v>
      </c>
      <c r="J9" s="50" t="s">
        <v>164</v>
      </c>
      <c r="K9" s="51"/>
      <c r="L9" s="51"/>
      <c r="M9" s="51"/>
      <c r="N9" s="51"/>
      <c r="O9" s="51"/>
      <c r="P9" s="52"/>
    </row>
    <row r="10" spans="1:16" ht="20.399999999999999" x14ac:dyDescent="0.3">
      <c r="A10" s="39">
        <v>46026</v>
      </c>
      <c r="B10" s="18" t="s">
        <v>38</v>
      </c>
      <c r="C10" s="9">
        <v>8</v>
      </c>
      <c r="D10" s="18"/>
      <c r="E10" s="19"/>
      <c r="F10" s="24"/>
      <c r="G10" s="19" t="str">
        <f t="shared" si="1"/>
        <v/>
      </c>
      <c r="H10" s="20" t="s">
        <v>71</v>
      </c>
      <c r="I10" s="49">
        <f t="shared" si="0"/>
        <v>8</v>
      </c>
      <c r="J10" s="50" t="s">
        <v>100</v>
      </c>
      <c r="K10" s="51"/>
      <c r="L10" s="51"/>
      <c r="M10" s="51"/>
      <c r="N10" s="51"/>
      <c r="O10" s="51"/>
      <c r="P10" s="52"/>
    </row>
    <row r="11" spans="1:16" ht="17.399999999999999" x14ac:dyDescent="0.3">
      <c r="A11" s="38">
        <v>46027</v>
      </c>
      <c r="B11" s="17" t="s">
        <v>34</v>
      </c>
      <c r="C11" s="17">
        <v>8</v>
      </c>
      <c r="D11" s="17"/>
      <c r="E11" s="17"/>
      <c r="F11" s="17"/>
      <c r="G11" s="17" t="str">
        <f t="shared" si="1"/>
        <v/>
      </c>
      <c r="H11" s="16" t="s">
        <v>71</v>
      </c>
      <c r="I11" s="48">
        <f t="shared" si="0"/>
        <v>8</v>
      </c>
      <c r="J11" s="50" t="s">
        <v>164</v>
      </c>
      <c r="K11" s="51"/>
      <c r="L11" s="51"/>
      <c r="M11" s="51"/>
      <c r="N11" s="51"/>
      <c r="O11" s="51"/>
      <c r="P11" s="52"/>
    </row>
    <row r="12" spans="1:16" ht="20.399999999999999" x14ac:dyDescent="0.3">
      <c r="A12" s="39">
        <v>46028</v>
      </c>
      <c r="B12" s="18" t="s">
        <v>34</v>
      </c>
      <c r="C12" s="9">
        <v>8</v>
      </c>
      <c r="D12" s="18"/>
      <c r="E12" s="19"/>
      <c r="F12" s="24"/>
      <c r="G12" s="19" t="str">
        <f t="shared" si="1"/>
        <v/>
      </c>
      <c r="H12" s="20" t="s">
        <v>71</v>
      </c>
      <c r="I12" s="49">
        <f t="shared" si="0"/>
        <v>8</v>
      </c>
      <c r="J12" s="50" t="s">
        <v>164</v>
      </c>
      <c r="K12" s="51"/>
      <c r="L12" s="51"/>
      <c r="M12" s="51"/>
      <c r="N12" s="51"/>
      <c r="O12" s="51"/>
      <c r="P12" s="52"/>
    </row>
    <row r="13" spans="1:16" ht="17.399999999999999" x14ac:dyDescent="0.3">
      <c r="A13" s="39">
        <v>46029</v>
      </c>
      <c r="B13" s="17" t="s">
        <v>34</v>
      </c>
      <c r="C13" s="17">
        <v>8</v>
      </c>
      <c r="D13" s="17"/>
      <c r="E13" s="17"/>
      <c r="F13" s="17"/>
      <c r="G13" s="17" t="str">
        <f t="shared" si="1"/>
        <v/>
      </c>
      <c r="H13" s="16" t="s">
        <v>71</v>
      </c>
      <c r="I13" s="48">
        <f t="shared" si="0"/>
        <v>8</v>
      </c>
      <c r="J13" s="50" t="s">
        <v>164</v>
      </c>
      <c r="K13" s="51"/>
      <c r="L13" s="51"/>
      <c r="M13" s="51"/>
      <c r="N13" s="51"/>
      <c r="O13" s="51"/>
      <c r="P13" s="52"/>
    </row>
    <row r="14" spans="1:16" ht="20.399999999999999" x14ac:dyDescent="0.3">
      <c r="A14" s="39">
        <v>46030</v>
      </c>
      <c r="B14" s="18" t="s">
        <v>34</v>
      </c>
      <c r="C14" s="9">
        <v>8</v>
      </c>
      <c r="D14" s="18"/>
      <c r="E14" s="24"/>
      <c r="F14" s="24"/>
      <c r="G14" s="19" t="str">
        <f t="shared" si="1"/>
        <v/>
      </c>
      <c r="H14" s="20" t="s">
        <v>71</v>
      </c>
      <c r="I14" s="49">
        <f t="shared" si="0"/>
        <v>8</v>
      </c>
      <c r="J14" s="50" t="s">
        <v>284</v>
      </c>
      <c r="K14" s="51"/>
      <c r="L14" s="51"/>
      <c r="M14" s="51"/>
      <c r="N14" s="51"/>
      <c r="O14" s="51"/>
      <c r="P14" s="52"/>
    </row>
    <row r="15" spans="1:16" ht="17.399999999999999" x14ac:dyDescent="0.3">
      <c r="A15" s="38">
        <v>46031</v>
      </c>
      <c r="B15" s="17" t="s">
        <v>34</v>
      </c>
      <c r="C15" s="17">
        <v>8</v>
      </c>
      <c r="D15" s="17"/>
      <c r="E15" s="17"/>
      <c r="F15" s="17"/>
      <c r="G15" s="17" t="str">
        <f t="shared" si="1"/>
        <v/>
      </c>
      <c r="H15" s="16" t="s">
        <v>71</v>
      </c>
      <c r="I15" s="48">
        <f t="shared" si="0"/>
        <v>8</v>
      </c>
      <c r="J15" s="50" t="s">
        <v>164</v>
      </c>
      <c r="K15" s="51"/>
      <c r="L15" s="51"/>
      <c r="M15" s="51"/>
      <c r="N15" s="51"/>
      <c r="O15" s="51"/>
      <c r="P15" s="52"/>
    </row>
    <row r="16" spans="1:16" ht="20.399999999999999" x14ac:dyDescent="0.3">
      <c r="A16" s="39">
        <v>46032</v>
      </c>
      <c r="B16" s="18" t="s">
        <v>34</v>
      </c>
      <c r="C16" s="9">
        <v>8</v>
      </c>
      <c r="D16" s="18"/>
      <c r="E16" s="24"/>
      <c r="F16" s="24"/>
      <c r="G16" s="19" t="str">
        <f t="shared" si="1"/>
        <v/>
      </c>
      <c r="H16" s="20" t="s">
        <v>71</v>
      </c>
      <c r="I16" s="49">
        <f t="shared" si="0"/>
        <v>8</v>
      </c>
      <c r="J16" s="50" t="s">
        <v>164</v>
      </c>
      <c r="K16" s="51"/>
      <c r="L16" s="51"/>
      <c r="M16" s="51"/>
      <c r="N16" s="51"/>
      <c r="O16" s="51"/>
      <c r="P16" s="52"/>
    </row>
    <row r="17" spans="1:16" ht="17.399999999999999" x14ac:dyDescent="0.3">
      <c r="A17" s="38">
        <v>46033</v>
      </c>
      <c r="B17" s="17" t="s">
        <v>38</v>
      </c>
      <c r="C17" s="17">
        <v>8</v>
      </c>
      <c r="D17" s="17"/>
      <c r="E17" s="17"/>
      <c r="F17" s="17"/>
      <c r="G17" s="17" t="str">
        <f t="shared" si="1"/>
        <v/>
      </c>
      <c r="H17" s="16" t="s">
        <v>71</v>
      </c>
      <c r="I17" s="48">
        <f t="shared" si="0"/>
        <v>8</v>
      </c>
      <c r="J17" s="50" t="s">
        <v>100</v>
      </c>
      <c r="K17" s="51"/>
      <c r="L17" s="51"/>
      <c r="M17" s="51"/>
      <c r="N17" s="51"/>
      <c r="O17" s="51"/>
      <c r="P17" s="52"/>
    </row>
    <row r="18" spans="1:16" ht="20.399999999999999" x14ac:dyDescent="0.3">
      <c r="A18" s="39">
        <v>46034</v>
      </c>
      <c r="B18" s="18" t="s">
        <v>34</v>
      </c>
      <c r="C18" s="9">
        <v>8</v>
      </c>
      <c r="D18" s="18"/>
      <c r="E18" s="24"/>
      <c r="F18" s="24"/>
      <c r="G18" s="19" t="str">
        <f t="shared" si="1"/>
        <v/>
      </c>
      <c r="H18" s="20" t="s">
        <v>71</v>
      </c>
      <c r="I18" s="49">
        <f t="shared" si="0"/>
        <v>8</v>
      </c>
      <c r="J18" s="50" t="s">
        <v>164</v>
      </c>
      <c r="K18" s="51"/>
      <c r="L18" s="51"/>
      <c r="M18" s="51"/>
      <c r="N18" s="51"/>
      <c r="O18" s="51"/>
      <c r="P18" s="52"/>
    </row>
    <row r="19" spans="1:16" ht="17.399999999999999" x14ac:dyDescent="0.3">
      <c r="A19" s="38">
        <v>46035</v>
      </c>
      <c r="B19" s="17" t="s">
        <v>34</v>
      </c>
      <c r="C19" s="17">
        <v>8</v>
      </c>
      <c r="D19" s="17"/>
      <c r="E19" s="17"/>
      <c r="F19" s="17"/>
      <c r="G19" s="17" t="str">
        <f t="shared" si="1"/>
        <v/>
      </c>
      <c r="H19" s="16" t="s">
        <v>71</v>
      </c>
      <c r="I19" s="48">
        <f t="shared" si="0"/>
        <v>8</v>
      </c>
      <c r="J19" s="50" t="s">
        <v>164</v>
      </c>
      <c r="K19" s="51"/>
      <c r="L19" s="51"/>
      <c r="M19" s="51"/>
      <c r="N19" s="51"/>
      <c r="O19" s="51"/>
      <c r="P19" s="52"/>
    </row>
    <row r="20" spans="1:16" ht="20.399999999999999" x14ac:dyDescent="0.3">
      <c r="A20" s="39">
        <v>46036</v>
      </c>
      <c r="B20" s="18" t="s">
        <v>34</v>
      </c>
      <c r="C20" s="9">
        <v>8</v>
      </c>
      <c r="D20" s="18"/>
      <c r="E20" s="24"/>
      <c r="F20" s="24"/>
      <c r="G20" s="19" t="str">
        <f t="shared" si="1"/>
        <v/>
      </c>
      <c r="H20" s="20" t="s">
        <v>71</v>
      </c>
      <c r="I20" s="49">
        <f t="shared" si="0"/>
        <v>8</v>
      </c>
      <c r="J20" s="50" t="s">
        <v>164</v>
      </c>
      <c r="K20" s="51"/>
      <c r="L20" s="51"/>
      <c r="M20" s="51"/>
      <c r="N20" s="51"/>
      <c r="O20" s="51"/>
      <c r="P20" s="52"/>
    </row>
    <row r="21" spans="1:16" ht="17.399999999999999" x14ac:dyDescent="0.3">
      <c r="A21" s="38">
        <v>46037</v>
      </c>
      <c r="B21" s="17" t="s">
        <v>34</v>
      </c>
      <c r="C21" s="17">
        <v>8</v>
      </c>
      <c r="D21" s="17"/>
      <c r="E21" s="17"/>
      <c r="F21" s="17"/>
      <c r="G21" s="17" t="str">
        <f t="shared" si="1"/>
        <v/>
      </c>
      <c r="H21" s="16" t="s">
        <v>71</v>
      </c>
      <c r="I21" s="48">
        <f t="shared" si="0"/>
        <v>8</v>
      </c>
      <c r="J21" s="50" t="s">
        <v>164</v>
      </c>
      <c r="K21" s="51"/>
      <c r="L21" s="51"/>
      <c r="M21" s="51"/>
      <c r="N21" s="51"/>
      <c r="O21" s="51"/>
      <c r="P21" s="52"/>
    </row>
    <row r="22" spans="1:16" ht="20.399999999999999" x14ac:dyDescent="0.3">
      <c r="A22" s="39">
        <v>46038</v>
      </c>
      <c r="B22" s="18" t="s">
        <v>34</v>
      </c>
      <c r="C22" s="9">
        <v>8</v>
      </c>
      <c r="D22" s="18"/>
      <c r="E22" s="24"/>
      <c r="F22" s="24"/>
      <c r="G22" s="19" t="str">
        <f>IF(B21="SL","SL","")</f>
        <v/>
      </c>
      <c r="H22" s="20" t="s">
        <v>71</v>
      </c>
      <c r="I22" s="49">
        <f>IFERROR(IF(SUM(C21:G21)&gt;24,"إجمالي &gt; 24 ساعة.",SUM(C21:G21)), "")</f>
        <v>8</v>
      </c>
      <c r="J22" s="50" t="s">
        <v>164</v>
      </c>
      <c r="K22" s="51"/>
      <c r="L22" s="51"/>
      <c r="M22" s="51"/>
      <c r="N22" s="51"/>
      <c r="O22" s="51"/>
      <c r="P22" s="52"/>
    </row>
    <row r="23" spans="1:16" ht="17.399999999999999" x14ac:dyDescent="0.3">
      <c r="A23" s="38">
        <v>46039</v>
      </c>
      <c r="B23" s="17" t="s">
        <v>34</v>
      </c>
      <c r="C23" s="17">
        <v>8</v>
      </c>
      <c r="D23" s="17"/>
      <c r="E23" s="17"/>
      <c r="F23" s="17"/>
      <c r="G23" s="17" t="str">
        <f t="shared" ref="G23:G35" si="2">IF(B23="SL","SL","")</f>
        <v/>
      </c>
      <c r="H23" s="16" t="s">
        <v>71</v>
      </c>
      <c r="I23" s="48">
        <f t="shared" ref="I23:I37" si="3">IFERROR(IF(SUM(C23:G23)&gt;24,"إجمالي &gt; 24 ساعة.",SUM(C23:G23)), "")</f>
        <v>8</v>
      </c>
      <c r="J23" s="50" t="s">
        <v>164</v>
      </c>
      <c r="K23" s="51"/>
      <c r="L23" s="51"/>
      <c r="M23" s="51"/>
      <c r="N23" s="51"/>
      <c r="O23" s="51"/>
      <c r="P23" s="52"/>
    </row>
    <row r="24" spans="1:16" ht="20.399999999999999" x14ac:dyDescent="0.3">
      <c r="A24" s="39">
        <v>46040</v>
      </c>
      <c r="B24" s="18" t="s">
        <v>38</v>
      </c>
      <c r="C24" s="9">
        <v>8</v>
      </c>
      <c r="D24" s="18"/>
      <c r="E24" s="24"/>
      <c r="F24" s="24"/>
      <c r="G24" s="19" t="str">
        <f t="shared" si="2"/>
        <v/>
      </c>
      <c r="H24" s="20" t="s">
        <v>71</v>
      </c>
      <c r="I24" s="49">
        <f t="shared" si="3"/>
        <v>8</v>
      </c>
      <c r="J24" s="50" t="s">
        <v>100</v>
      </c>
      <c r="K24" s="51"/>
      <c r="L24" s="51"/>
      <c r="M24" s="51"/>
      <c r="N24" s="51"/>
      <c r="O24" s="51"/>
      <c r="P24" s="52"/>
    </row>
    <row r="25" spans="1:16" ht="17.399999999999999" x14ac:dyDescent="0.3">
      <c r="A25" s="38">
        <v>46041</v>
      </c>
      <c r="B25" s="17" t="s">
        <v>34</v>
      </c>
      <c r="C25" s="17">
        <v>8</v>
      </c>
      <c r="D25" s="17"/>
      <c r="E25" s="17"/>
      <c r="F25" s="17"/>
      <c r="G25" s="17" t="str">
        <f t="shared" si="2"/>
        <v/>
      </c>
      <c r="H25" s="16" t="s">
        <v>71</v>
      </c>
      <c r="I25" s="48">
        <f t="shared" si="3"/>
        <v>8</v>
      </c>
      <c r="J25" s="50" t="s">
        <v>164</v>
      </c>
      <c r="K25" s="51"/>
      <c r="L25" s="51"/>
      <c r="M25" s="51"/>
      <c r="N25" s="51"/>
      <c r="O25" s="51"/>
      <c r="P25" s="52"/>
    </row>
    <row r="26" spans="1:16" ht="20.399999999999999" x14ac:dyDescent="0.3">
      <c r="A26" s="39">
        <v>46042</v>
      </c>
      <c r="B26" s="18" t="s">
        <v>34</v>
      </c>
      <c r="C26" s="9">
        <v>8</v>
      </c>
      <c r="D26" s="18"/>
      <c r="E26" s="24"/>
      <c r="F26" s="24"/>
      <c r="G26" s="19" t="str">
        <f t="shared" si="2"/>
        <v/>
      </c>
      <c r="H26" s="20" t="s">
        <v>71</v>
      </c>
      <c r="I26" s="49">
        <f t="shared" si="3"/>
        <v>8</v>
      </c>
      <c r="J26" s="50" t="s">
        <v>164</v>
      </c>
      <c r="K26" s="51"/>
      <c r="L26" s="51"/>
      <c r="M26" s="51"/>
      <c r="N26" s="51"/>
      <c r="O26" s="51"/>
      <c r="P26" s="52"/>
    </row>
    <row r="27" spans="1:16" ht="17.399999999999999" x14ac:dyDescent="0.3">
      <c r="A27" s="38">
        <v>46043</v>
      </c>
      <c r="B27" s="17" t="s">
        <v>34</v>
      </c>
      <c r="C27" s="17">
        <v>8</v>
      </c>
      <c r="D27" s="17"/>
      <c r="E27" s="17"/>
      <c r="F27" s="17"/>
      <c r="G27" s="17" t="str">
        <f t="shared" si="2"/>
        <v/>
      </c>
      <c r="H27" s="16" t="s">
        <v>71</v>
      </c>
      <c r="I27" s="48">
        <f t="shared" si="3"/>
        <v>8</v>
      </c>
      <c r="J27" s="50" t="s">
        <v>164</v>
      </c>
      <c r="K27" s="51"/>
      <c r="L27" s="51"/>
      <c r="M27" s="51"/>
      <c r="N27" s="51"/>
      <c r="O27" s="51"/>
      <c r="P27" s="52"/>
    </row>
    <row r="28" spans="1:16" ht="20.399999999999999" x14ac:dyDescent="0.3">
      <c r="A28" s="39">
        <v>46044</v>
      </c>
      <c r="B28" s="18" t="s">
        <v>34</v>
      </c>
      <c r="C28" s="9">
        <v>8</v>
      </c>
      <c r="D28" s="18"/>
      <c r="E28" s="24"/>
      <c r="F28" s="24"/>
      <c r="G28" s="19" t="str">
        <f t="shared" si="2"/>
        <v/>
      </c>
      <c r="H28" s="20" t="s">
        <v>71</v>
      </c>
      <c r="I28" s="49">
        <f t="shared" si="3"/>
        <v>8</v>
      </c>
      <c r="J28" s="50" t="s">
        <v>285</v>
      </c>
      <c r="K28" s="51"/>
      <c r="L28" s="51"/>
      <c r="M28" s="51"/>
      <c r="N28" s="51"/>
      <c r="O28" s="51"/>
      <c r="P28" s="52"/>
    </row>
    <row r="29" spans="1:16" ht="17.399999999999999" x14ac:dyDescent="0.3">
      <c r="A29" s="38">
        <v>46045</v>
      </c>
      <c r="B29" s="17" t="s">
        <v>34</v>
      </c>
      <c r="C29" s="17">
        <v>8</v>
      </c>
      <c r="D29" s="17"/>
      <c r="E29" s="17"/>
      <c r="F29" s="17"/>
      <c r="G29" s="17" t="str">
        <f t="shared" si="2"/>
        <v/>
      </c>
      <c r="H29" s="16" t="s">
        <v>71</v>
      </c>
      <c r="I29" s="48">
        <f t="shared" si="3"/>
        <v>8</v>
      </c>
      <c r="J29" s="50" t="s">
        <v>164</v>
      </c>
      <c r="K29" s="51"/>
      <c r="L29" s="51"/>
      <c r="M29" s="51"/>
      <c r="N29" s="51"/>
      <c r="O29" s="51"/>
      <c r="P29" s="52"/>
    </row>
    <row r="30" spans="1:16" ht="20.399999999999999" x14ac:dyDescent="0.3">
      <c r="A30" s="39">
        <v>46046</v>
      </c>
      <c r="B30" s="18" t="s">
        <v>34</v>
      </c>
      <c r="C30" s="9">
        <v>8</v>
      </c>
      <c r="D30" s="18"/>
      <c r="E30" s="24"/>
      <c r="F30" s="24"/>
      <c r="G30" s="19" t="str">
        <f t="shared" si="2"/>
        <v/>
      </c>
      <c r="H30" s="20" t="s">
        <v>71</v>
      </c>
      <c r="I30" s="49">
        <f t="shared" si="3"/>
        <v>8</v>
      </c>
      <c r="J30" s="50" t="s">
        <v>164</v>
      </c>
      <c r="K30" s="51"/>
      <c r="L30" s="51"/>
      <c r="M30" s="51"/>
      <c r="N30" s="51"/>
      <c r="O30" s="51"/>
      <c r="P30" s="52"/>
    </row>
    <row r="31" spans="1:16" ht="17.399999999999999" x14ac:dyDescent="0.3">
      <c r="A31" s="38">
        <v>46047</v>
      </c>
      <c r="B31" s="17" t="s">
        <v>38</v>
      </c>
      <c r="C31" s="17">
        <v>8</v>
      </c>
      <c r="D31" s="17"/>
      <c r="E31" s="17"/>
      <c r="F31" s="17"/>
      <c r="G31" s="17" t="str">
        <f t="shared" si="2"/>
        <v/>
      </c>
      <c r="H31" s="16" t="s">
        <v>71</v>
      </c>
      <c r="I31" s="48">
        <f t="shared" si="3"/>
        <v>8</v>
      </c>
      <c r="J31" s="50" t="s">
        <v>100</v>
      </c>
      <c r="K31" s="51"/>
      <c r="L31" s="51"/>
      <c r="M31" s="51"/>
      <c r="N31" s="51"/>
      <c r="O31" s="51"/>
      <c r="P31" s="52"/>
    </row>
    <row r="32" spans="1:16" ht="20.399999999999999" x14ac:dyDescent="0.3">
      <c r="A32" s="39">
        <v>46048</v>
      </c>
      <c r="B32" s="18" t="s">
        <v>34</v>
      </c>
      <c r="C32" s="9">
        <v>8</v>
      </c>
      <c r="D32" s="18"/>
      <c r="E32" s="24"/>
      <c r="F32" s="24"/>
      <c r="G32" s="19" t="str">
        <f t="shared" si="2"/>
        <v/>
      </c>
      <c r="H32" s="20" t="s">
        <v>71</v>
      </c>
      <c r="I32" s="49">
        <f t="shared" si="3"/>
        <v>8</v>
      </c>
      <c r="J32" s="50" t="s">
        <v>164</v>
      </c>
      <c r="K32" s="51"/>
      <c r="L32" s="51"/>
      <c r="M32" s="51"/>
      <c r="N32" s="51"/>
      <c r="O32" s="51"/>
      <c r="P32" s="52"/>
    </row>
    <row r="33" spans="1:16" ht="17.399999999999999" x14ac:dyDescent="0.3">
      <c r="A33" s="38">
        <v>46049</v>
      </c>
      <c r="B33" s="17" t="s">
        <v>34</v>
      </c>
      <c r="C33" s="17">
        <v>8</v>
      </c>
      <c r="D33" s="17"/>
      <c r="E33" s="17"/>
      <c r="F33" s="17"/>
      <c r="G33" s="17" t="str">
        <f t="shared" si="2"/>
        <v/>
      </c>
      <c r="H33" s="16" t="s">
        <v>71</v>
      </c>
      <c r="I33" s="48">
        <f t="shared" si="3"/>
        <v>8</v>
      </c>
      <c r="J33" s="50" t="s">
        <v>164</v>
      </c>
      <c r="K33" s="51"/>
      <c r="L33" s="51"/>
      <c r="M33" s="51"/>
      <c r="N33" s="51"/>
      <c r="O33" s="51"/>
      <c r="P33" s="52"/>
    </row>
    <row r="34" spans="1:16" ht="20.399999999999999" x14ac:dyDescent="0.3">
      <c r="A34" s="39">
        <v>46050</v>
      </c>
      <c r="B34" s="21" t="s">
        <v>34</v>
      </c>
      <c r="C34" s="9">
        <v>8</v>
      </c>
      <c r="D34" s="24"/>
      <c r="E34" s="24"/>
      <c r="F34" s="24"/>
      <c r="G34" s="19" t="str">
        <f t="shared" si="2"/>
        <v/>
      </c>
      <c r="H34" s="20" t="s">
        <v>71</v>
      </c>
      <c r="I34" s="49">
        <f t="shared" si="3"/>
        <v>8</v>
      </c>
      <c r="J34" s="50" t="s">
        <v>286</v>
      </c>
      <c r="K34" s="51"/>
      <c r="L34" s="51"/>
      <c r="M34" s="51"/>
      <c r="N34" s="51"/>
      <c r="O34" s="51"/>
      <c r="P34" s="52"/>
    </row>
    <row r="35" spans="1:16" ht="17.399999999999999" x14ac:dyDescent="0.3">
      <c r="A35" s="38">
        <v>46051</v>
      </c>
      <c r="B35" s="17" t="s">
        <v>34</v>
      </c>
      <c r="C35" s="17">
        <v>8</v>
      </c>
      <c r="D35" s="17"/>
      <c r="E35" s="17"/>
      <c r="F35" s="17"/>
      <c r="G35" s="17" t="str">
        <f t="shared" si="2"/>
        <v/>
      </c>
      <c r="H35" s="16" t="s">
        <v>71</v>
      </c>
      <c r="I35" s="48">
        <f t="shared" si="3"/>
        <v>8</v>
      </c>
      <c r="J35" s="50" t="s">
        <v>164</v>
      </c>
      <c r="K35" s="51"/>
      <c r="L35" s="51"/>
      <c r="M35" s="51"/>
      <c r="N35" s="51"/>
      <c r="O35" s="51"/>
      <c r="P35" s="52"/>
    </row>
    <row r="36" spans="1:16" ht="20.399999999999999" x14ac:dyDescent="0.3">
      <c r="A36" s="39">
        <v>46052</v>
      </c>
      <c r="B36" s="21" t="s">
        <v>34</v>
      </c>
      <c r="C36" s="9">
        <v>8</v>
      </c>
      <c r="D36" s="24"/>
      <c r="E36" s="24"/>
      <c r="F36" s="24"/>
      <c r="G36" s="19"/>
      <c r="H36" s="20" t="s">
        <v>71</v>
      </c>
      <c r="I36" s="49">
        <f t="shared" si="3"/>
        <v>8</v>
      </c>
      <c r="J36" s="50" t="s">
        <v>287</v>
      </c>
      <c r="K36" s="51"/>
      <c r="L36" s="51"/>
      <c r="M36" s="51"/>
      <c r="N36" s="51"/>
      <c r="O36" s="51"/>
      <c r="P36" s="52"/>
    </row>
    <row r="37" spans="1:16" ht="17.399999999999999" x14ac:dyDescent="0.3">
      <c r="A37" s="38">
        <v>46053</v>
      </c>
      <c r="B37" s="17" t="s">
        <v>34</v>
      </c>
      <c r="C37" s="17">
        <v>8</v>
      </c>
      <c r="D37" s="17"/>
      <c r="E37" s="17"/>
      <c r="F37" s="17"/>
      <c r="G37" s="17"/>
      <c r="H37" s="16" t="s">
        <v>71</v>
      </c>
      <c r="I37" s="48">
        <f t="shared" si="3"/>
        <v>8</v>
      </c>
      <c r="J37" s="50" t="s">
        <v>164</v>
      </c>
      <c r="K37" s="51"/>
      <c r="L37" s="51"/>
      <c r="M37" s="51"/>
      <c r="N37" s="51"/>
      <c r="O37" s="51"/>
      <c r="P37" s="52"/>
    </row>
    <row r="38" spans="1:16" ht="17.399999999999999" x14ac:dyDescent="0.3">
      <c r="A38" s="53" t="s">
        <v>19</v>
      </c>
      <c r="B38" s="52"/>
      <c r="C38" s="10">
        <f>SUM(C7:C37) -  (COUNTIF(B7:B37, "AWO") * 8)</f>
        <v>248</v>
      </c>
      <c r="D38" s="22">
        <f>IFERROR(SUM(D7:D37), "")</f>
        <v>0</v>
      </c>
      <c r="E38" s="22">
        <f>IFERROR(SUM(E7:E37), "")</f>
        <v>0</v>
      </c>
      <c r="F38" s="22">
        <f>IFERROR(SUM(F7:F37), "")</f>
        <v>0</v>
      </c>
      <c r="G38" s="11"/>
      <c r="H38" s="27"/>
      <c r="I38" s="22" t="s">
        <v>20</v>
      </c>
      <c r="P38" s="34"/>
    </row>
    <row r="39" spans="1:16" ht="17.399999999999999" x14ac:dyDescent="0.3">
      <c r="A39" s="53" t="s">
        <v>21</v>
      </c>
      <c r="B39" s="52"/>
      <c r="C39" s="12">
        <f>COUNTIF(B7:B37, "P") + COUNTIF(B7:B37, "W") + COUNTIF(B7:B37, "H") + COUNTIF(B7:B37, "A") + COUNTIF(B7:B37, "AWO")-C40</f>
        <v>31</v>
      </c>
      <c r="D39" s="12"/>
      <c r="E39" s="12"/>
      <c r="F39" s="12"/>
      <c r="G39" s="25" t="s">
        <v>22</v>
      </c>
      <c r="H39" s="26">
        <f>COUNTIF(B7:B37,"sl")</f>
        <v>0</v>
      </c>
      <c r="I39" s="63">
        <f>COUNTIFS(G7:G37, "SL", G7:G37, "&lt;=3")</f>
        <v>0</v>
      </c>
      <c r="P39" s="34"/>
    </row>
    <row r="40" spans="1:16" ht="34.799999999999997" x14ac:dyDescent="0.3">
      <c r="A40" s="53" t="s">
        <v>23</v>
      </c>
      <c r="B40" s="52"/>
      <c r="C40" s="12">
        <f>COUNTIF(B7:B37,"A")+COUNTIF(B7:B37,"AWO")*2</f>
        <v>0</v>
      </c>
      <c r="D40" s="12"/>
      <c r="E40" s="12"/>
      <c r="F40" s="12"/>
      <c r="G40" s="23" t="s">
        <v>24</v>
      </c>
      <c r="H40" s="28">
        <v>0</v>
      </c>
      <c r="I40" s="64"/>
      <c r="P40" s="34"/>
    </row>
    <row r="41" spans="1:16" ht="17.399999999999999" x14ac:dyDescent="0.3">
      <c r="A41" s="53" t="s">
        <v>25</v>
      </c>
      <c r="B41" s="52"/>
      <c r="C41" s="29">
        <f>COUNTIF(B7:B37,"AWO") * 2 * I3 +COUNTIF(B7:B37, "A") * I3</f>
        <v>0</v>
      </c>
      <c r="D41" s="12"/>
      <c r="E41" s="12"/>
      <c r="F41" s="13"/>
      <c r="G41" s="25" t="s">
        <v>26</v>
      </c>
      <c r="H41" s="28">
        <f>SUM(C41+H40)</f>
        <v>0</v>
      </c>
      <c r="I41" s="65"/>
      <c r="P41" s="34"/>
    </row>
    <row r="42" spans="1:16" ht="17.399999999999999" x14ac:dyDescent="0.3">
      <c r="A42" s="53" t="s">
        <v>27</v>
      </c>
      <c r="B42" s="52"/>
      <c r="C42" s="14">
        <f>IF(F4="January", I2/248*C38, "")</f>
        <v>1400</v>
      </c>
      <c r="D42" s="14">
        <f>IFERROR(I2/248*1.25*D38, "")</f>
        <v>0</v>
      </c>
      <c r="E42" s="14">
        <f>IFERROR(I2/248*1.5*E38, "")</f>
        <v>0</v>
      </c>
      <c r="F42" s="14">
        <f>IFERROR(I2/248*2.5*F38, "")</f>
        <v>0</v>
      </c>
      <c r="G42" s="66" t="s">
        <v>28</v>
      </c>
      <c r="H42" s="52"/>
      <c r="I42" s="30">
        <f>IFERROR(SUM(C42:F42), "") - H40</f>
        <v>1400</v>
      </c>
      <c r="P42" s="34"/>
    </row>
    <row r="43" spans="1:16" ht="18" thickBot="1" x14ac:dyDescent="0.35">
      <c r="A43" s="40" t="s">
        <v>29</v>
      </c>
      <c r="B43" s="41">
        <f ca="1">TODAY()</f>
        <v>46056</v>
      </c>
      <c r="C43" s="42"/>
      <c r="D43" s="43" t="s">
        <v>30</v>
      </c>
      <c r="E43" s="43"/>
      <c r="F43" s="43"/>
      <c r="G43" s="44" t="s">
        <v>31</v>
      </c>
      <c r="H43" s="45"/>
      <c r="I43" s="45"/>
      <c r="J43" s="46"/>
      <c r="K43" s="46"/>
      <c r="L43" s="46"/>
      <c r="M43" s="46"/>
      <c r="N43" s="46"/>
      <c r="O43" s="46"/>
      <c r="P43" s="47"/>
    </row>
    <row r="44" spans="1:16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16" x14ac:dyDescent="0.3">
      <c r="A45" s="15"/>
      <c r="B45" s="15"/>
      <c r="C45" s="15"/>
      <c r="D45" s="15"/>
      <c r="E45" s="15"/>
      <c r="F45" s="15"/>
      <c r="G45" s="15"/>
      <c r="H45" s="15"/>
      <c r="I45" s="15"/>
    </row>
  </sheetData>
  <mergeCells count="45"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7:P7"/>
    <mergeCell ref="A40:B40"/>
    <mergeCell ref="J16:P16"/>
    <mergeCell ref="J32:P32"/>
    <mergeCell ref="A39:B39"/>
    <mergeCell ref="J25:P25"/>
    <mergeCell ref="J14:P14"/>
    <mergeCell ref="J10:P10"/>
    <mergeCell ref="J28:P28"/>
    <mergeCell ref="J19:P19"/>
    <mergeCell ref="J37:P37"/>
    <mergeCell ref="J13:P13"/>
    <mergeCell ref="J11:P11"/>
    <mergeCell ref="J31:P31"/>
    <mergeCell ref="J22:P22"/>
  </mergeCells>
  <printOptions horizontalCentered="1" verticalCentered="1"/>
  <pageMargins left="0.25" right="0.25" top="0.75" bottom="0.75" header="0.3" footer="0.3"/>
  <pageSetup paperSize="9" scale="5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محمد عرفان مظفر حسين</vt:lpstr>
      <vt:lpstr>محمد جمعة</vt:lpstr>
      <vt:lpstr>وزير خان حبيب الله خان</vt:lpstr>
      <vt:lpstr>عبدالودود عجب خان</vt:lpstr>
      <vt:lpstr>برينس كومار بانديت بهارات</vt:lpstr>
      <vt:lpstr>راما كانت ياداف سانترا ج ياداف</vt:lpstr>
      <vt:lpstr>عدنان محمد يوسف</vt:lpstr>
      <vt:lpstr>محمد رضوان فاروق احمد اختر</vt:lpstr>
      <vt:lpstr>نظر جان محمد ظاهر</vt:lpstr>
      <vt:lpstr>ارشد على عزيز اور الرحمن</vt:lpstr>
      <vt:lpstr>تامانج جولشان</vt:lpstr>
      <vt:lpstr>محمد مصطفى يوسف  غانم</vt:lpstr>
      <vt:lpstr>عجب خان</vt:lpstr>
      <vt:lpstr>حفيظ الله</vt:lpstr>
      <vt:lpstr>شمس الرحمن</vt:lpstr>
      <vt:lpstr>رحمت الله</vt:lpstr>
      <vt:lpstr>محمد بلال احمد</vt:lpstr>
      <vt:lpstr>محمد ادريس عجب كل</vt:lpstr>
      <vt:lpstr> محمد عويس شير اكبر</vt:lpstr>
      <vt:lpstr>نداء الله محمد ايوب خان</vt:lpstr>
      <vt:lpstr>بلال خان سعيد رحمن</vt:lpstr>
      <vt:lpstr>ميلكامو مولا بيليو</vt:lpstr>
      <vt:lpstr>امارى ميسقى وبيتو</vt:lpstr>
      <vt:lpstr>ابابو موجيس نيجيس</vt:lpstr>
      <vt:lpstr>باجر انجلال شارهان</vt:lpstr>
      <vt:lpstr> كليم الله شيرال</vt:lpstr>
      <vt:lpstr>محمد شاهجان جازى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cp:lastPrinted>2026-02-03T08:09:00Z</cp:lastPrinted>
  <dcterms:created xsi:type="dcterms:W3CDTF">2024-12-18T10:07:28Z</dcterms:created>
  <dcterms:modified xsi:type="dcterms:W3CDTF">2026-02-03T08:16:39Z</dcterms:modified>
</cp:coreProperties>
</file>